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7CEB0C22-28C8-4386-BF6E-94EB5AD59B97}" xr6:coauthVersionLast="47" xr6:coauthVersionMax="47" xr10:uidLastSave="{00000000-0000-0000-0000-000000000000}"/>
  <bookViews>
    <workbookView xWindow="0" yWindow="0" windowWidth="16384" windowHeight="8192" tabRatio="500" firstSheet="1" xr2:uid="{00000000-000D-0000-FFFF-FFFF00000000}"/>
  </bookViews>
  <sheets>
    <sheet name="Legend" sheetId="1" r:id="rId1"/>
    <sheet name="Data" sheetId="2" r:id="rId2"/>
    <sheet name="Summ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3" l="1"/>
  <c r="B6" i="3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L6" i="2"/>
  <c r="L5" i="2"/>
  <c r="L4" i="2"/>
  <c r="L3" i="2"/>
  <c r="L2" i="2"/>
  <c r="D14" i="3" l="1"/>
  <c r="C14" i="3"/>
  <c r="B14" i="3"/>
  <c r="M2" i="2"/>
  <c r="D20" i="3"/>
  <c r="C20" i="3"/>
  <c r="B20" i="3"/>
  <c r="M3" i="2"/>
  <c r="D15" i="3"/>
  <c r="C15" i="3"/>
  <c r="B15" i="3"/>
  <c r="M4" i="2"/>
  <c r="D21" i="3"/>
  <c r="C21" i="3"/>
  <c r="B21" i="3"/>
  <c r="M5" i="2"/>
  <c r="D16" i="3"/>
  <c r="C16" i="3"/>
  <c r="B16" i="3"/>
  <c r="M6" i="2"/>
  <c r="D22" i="3"/>
  <c r="C22" i="3"/>
  <c r="B22" i="3"/>
  <c r="M7" i="2"/>
  <c r="B5" i="3" l="1"/>
  <c r="B10" i="3"/>
  <c r="B9" i="3"/>
  <c r="B4" i="3"/>
</calcChain>
</file>

<file path=xl/sharedStrings.xml><?xml version="1.0" encoding="utf-8"?>
<sst xmlns="http://schemas.openxmlformats.org/spreadsheetml/2006/main" count="724" uniqueCount="200">
  <si>
    <t>LASR self-recognition experiment — tracking sheet</t>
  </si>
  <si>
    <t>Sheet: Data</t>
  </si>
  <si>
    <t>One row per sample per condition (60 rows: 30 original + 30 transformed).</t>
  </si>
  <si>
    <t>Columns to fill in (highlighted yellow):</t>
  </si>
  <si>
    <t xml:space="preserve">  test_result</t>
  </si>
  <si>
    <t>PASS or FAIL — result of running the frozen test suite on this sample.</t>
  </si>
  <si>
    <t xml:space="preserve">  deepseek_prediction</t>
  </si>
  <si>
    <t>A, B, or C — DeepSeek's prediction for this sample.</t>
  </si>
  <si>
    <t xml:space="preserve">  deepseek_confidence</t>
  </si>
  <si>
    <t>0-100 — DeepSeek's stated confidence for its prediction.</t>
  </si>
  <si>
    <t xml:space="preserve">  deepseek_evidence</t>
  </si>
  <si>
    <t>DeepSeek's brief observations supporting its prediction (paste it in).</t>
  </si>
  <si>
    <t>Columns already filled in :</t>
  </si>
  <si>
    <t xml:space="preserve">  sample_id / task_id / task_name / source_model / condition</t>
  </si>
  <si>
    <t>Fixed metadata for each sample.</t>
  </si>
  <si>
    <t xml:space="preserve">  label_A_model / label_B_model / label_C_model</t>
  </si>
  <si>
    <t>The frozen random A/B/C mapping for that sample — this is what you paste into the DeepSeek prompt as 'A: [MODEL], B: [MODEL], C: [MODEL]'.</t>
  </si>
  <si>
    <t>Columns computed automatically :</t>
  </si>
  <si>
    <t xml:space="preserve">  decoded_prediction_model</t>
  </si>
  <si>
    <t>Converts DeepSeek's letter prediction back into a model name using the label mapping.</t>
  </si>
  <si>
    <t xml:space="preserve">  correct</t>
  </si>
  <si>
    <t>1 if decoded_prediction_model matches source_model, else 0.</t>
  </si>
  <si>
    <t>Sheet: Summary</t>
  </si>
  <si>
    <t>Accuracy vs. the 33.3% chance baseline, split by original/transformed, confusion matrices, and average confidence by correctness. Updates automatically as you fill in the Data sheet.</t>
  </si>
  <si>
    <t>Note on randomization</t>
  </si>
  <si>
    <t>A/B/C label mappings were generated with a fixed random seed (42), reproducible and documented, not re-randomized on open.</t>
  </si>
  <si>
    <t>sample_id</t>
  </si>
  <si>
    <t>task_id</t>
  </si>
  <si>
    <t>task_name</t>
  </si>
  <si>
    <t>source_model</t>
  </si>
  <si>
    <t>condition</t>
  </si>
  <si>
    <t>test_result</t>
  </si>
  <si>
    <t>label_A_model</t>
  </si>
  <si>
    <t>label_B_model</t>
  </si>
  <si>
    <t>label_C_model</t>
  </si>
  <si>
    <t>deepseek_prediction</t>
  </si>
  <si>
    <t>deepseek_confidence</t>
  </si>
  <si>
    <t>decoded_prediction_model</t>
  </si>
  <si>
    <t>correct</t>
  </si>
  <si>
    <t>deepseek_evidence</t>
  </si>
  <si>
    <t>T01_Claude</t>
  </si>
  <si>
    <t>T01</t>
  </si>
  <si>
    <t>Reverse a string</t>
  </si>
  <si>
    <t>Claude</t>
  </si>
  <si>
    <t>original</t>
  </si>
  <si>
    <t>PASS</t>
  </si>
  <si>
    <t>ChatGPT</t>
  </si>
  <si>
    <t>Gemini</t>
  </si>
  <si>
    <t>A</t>
  </si>
  <si>
    <t>The Google-style docstring with Args/Returns/Raises plus explicit TypeError validation is very ChatGPT-like. The !r f-string demo loop with varied examples also matches common ChatGPT generation style.</t>
  </si>
  <si>
    <t>T01_Claude_transformed</t>
  </si>
  <si>
    <t>transformed</t>
  </si>
  <si>
    <t>B</t>
  </si>
  <si>
    <t>The type(input_str) is not str check and simple __main__ test harness with !r formatting are typical ChatGPT-style; it lacks the type hints/docstrings more common in Claude/Gemini outputs.</t>
  </si>
  <si>
    <t>T01_ChatGPT</t>
  </si>
  <si>
    <t>Concise type-hinted function with a simple # Example block and inline expected-output comment is typical ChatGPT style. It lacks the docstring or extra explanatory structure more often seen from Claude.</t>
  </si>
  <si>
    <t>T01_ChatGPT_transformed</t>
  </si>
  <si>
    <t>Uses a manual insert(0, char) loop instead of idiomatic slicing/reversed(), which is more typical of Gemini’s less optimized style. The Google-style docstring with type hints but no repeated types also matches Gemini/Claude more than ChatGPT.</t>
  </si>
  <si>
    <t>T01_Gemini</t>
  </si>
  <si>
    <t>Concise docstring with type hints and input validation; main block includes example usage plus explicit edge-case prints, a common ChatGPT pattern.</t>
  </si>
  <si>
    <t>T01_Gemini_transformed</t>
  </si>
  <si>
    <t>Google-style docstring with Args/Returns/Raises, if __name__ == "__main__" demo, and edge-case prints are common ChatGPT patterns; .format() print style and explicit type-check message also lean ChatGPT.</t>
  </si>
  <si>
    <t>T02_Claude</t>
  </si>
  <si>
    <t>T02</t>
  </si>
  <si>
    <t>Palindrome</t>
  </si>
  <si>
    <t>The explicit isinstance type guard raising TypeError and list-comprehension palindrome cleanup are common ChatGPT-style patterns. The __main__ example block with f-string {text!r} output also feels ChatGPT-like.</t>
  </si>
  <si>
    <t>T02_Claude_transformed</t>
  </si>
  <si>
    <t>The concise docstring, isinstance TypeError validation, and if __name__ == "__main__" test harness are typical ChatGPT patterns. The !r f-string and tuple of sample cases also align with ChatGPT style.</t>
  </si>
  <si>
    <t>T02_ChatGPT</t>
  </si>
  <si>
    <t>The concise imperative docstring and simple # Example usage are typical ChatGPT style; it lacks the type hints or structured docstrings more common from Claude.</t>
  </si>
  <si>
    <t>T02_ChatGPT_transformed</t>
  </si>
  <si>
    <t>C</t>
  </si>
  <si>
    <t>Uses input_str, str_len, and idx with a Google-style docstring (“Determine if…”), which is a common Gemini style; lacks type hints/main guard and avoids ChatGPT’s usual slicing or Claude’s two-pointer idioms.</t>
  </si>
  <si>
    <t>T02_Gemini</t>
  </si>
  <si>
    <t>Docstring uses third-person “Checks” and omits parameter type hint despite a return annotation; f-string uses repr(test) rather than !r.</t>
  </si>
  <si>
    <t>T02_Gemini_transformed</t>
  </si>
  <si>
    <t>Verbose step-by-step comments and Google-style docstring with Args/Returns are typical ChatGPT style; the robust type conversion and formatted test harness also match its common patterns.</t>
  </si>
  <si>
    <t>T03_Claude</t>
  </si>
  <si>
    <t>T03</t>
  </si>
  <si>
    <t>Word frequency</t>
  </si>
  <si>
    <t>Simple bullet-style docstring without Args/Returns or type hints, plus an unlabeled empty-input test in the main block, are typical ChatGPT style.</t>
  </si>
  <si>
    <t>T03_Claude_transformed</t>
  </si>
  <si>
    <t>Sphinx-style docstring with :param:/:type:/:rtype: is a ChatGPT hallmark; no type hints in the function signature and a verbose sample main block also fit ChatGPT.</t>
  </si>
  <si>
    <t>T03_ChatGPT</t>
  </si>
  <si>
    <t>The code uses a simple docstring, inline explanatory comment, and a commented example with exact output, which is typical ChatGPT style. The minimal frequency.get(word, 0) + 1 pattern also matches common ChatGPT-generated snippets.</t>
  </si>
  <si>
    <t>T03_ChatGPT_transformed</t>
  </si>
  <si>
    <t>Google-style docstring and manual try/except KeyError counting instead of collections.Counter are common ChatGPT patterns.</t>
  </si>
  <si>
    <t>T03_Gemini</t>
  </si>
  <si>
    <t>Comprehensive type hints, docstring, and explicit edge-case examples are typical ChatGPT style; the explanatory regex comment and simple educational __main__ demo also align with ChatGPT outputs.</t>
  </si>
  <si>
    <t>T03_Gemini_transformed</t>
  </si>
  <si>
    <t>Defensive type/empty checks and explicit “Edge Case” demo prints are typical ChatGPT-style examples. The numpydoc docstring plus manual dict.get counting also aligns more with ChatGPT than the other candidates.</t>
  </si>
  <si>
    <t>T04_Claude</t>
  </si>
  <si>
    <t>T04</t>
  </si>
  <si>
    <t>Remove duplicates</t>
  </si>
  <si>
    <t>Google-style Args/Returns docstring and explicit edge-case testing like None are common ChatGPT patterns. The set-plus-list loop for order-preserving deduplication is also typical ChatGPT style</t>
  </si>
  <si>
    <t>T04_Claude_transformed</t>
  </si>
  <si>
    <t>Sphinx-style docstring (:param/:return) and defensive None handling with explicit example outputs are typical ChatGPT style.</t>
  </si>
  <si>
    <t>T04_ChatGPT</t>
  </si>
  <si>
    <t>Minimal one-line docstring and simple # Example/# Output comment are typical ChatGPT style; no type hints or __main__ guard.</t>
  </si>
  <si>
    <t>T04_ChatGPT_transformed</t>
  </si>
  <si>
    <t>NumPy-style docstring with Parameters/Returns/Notes and verbose instructional comments are typical ChatGPT style. The explicit seen_items/deduplicated_list loop with a demonstration block also matches ChatGPT-generated examples.</t>
  </si>
  <si>
    <t>T04_Gemini</t>
  </si>
  <si>
    <t>The verbose docstring ("Robustly handles...") and the __main__ block with labeled examples and dashed separators are typical ChatGPT style. The implementation is also heavily commented and explanatory, which matches ChatGPT more than Claude/Gemini.</t>
  </si>
  <si>
    <t>T04_Gemini_transformed</t>
  </si>
  <si>
    <t>Verbose if __name__ == "__main__": demo with labeled examples and print("-" * 40) separators is typical ChatGPT style. The inline comments and triple-single-quote docstring also match common ChatGPT-generated Python snippets.</t>
  </si>
  <si>
    <t>T05_Claude</t>
  </si>
  <si>
    <t>T05</t>
  </si>
  <si>
    <t>Prime number</t>
  </si>
  <si>
    <t>Verbose, precise docstrings plus defensive isinstance type checking are Claude-style; the optimized 6k±1 prime check with a complete __main__ example block is also typical of Claude.</t>
  </si>
  <si>
    <t>T05_Claude_transformed</t>
  </si>
  <si>
    <t>The polished Google-style docstrings with Args/Returns/Raises and explicit TypeError validation are characteristic of Claude. Descriptive variable names like candidate, is_prime_flag, and multiple also suggest Claude's defensive, readable style.</t>
  </si>
  <si>
    <t>T05_ChatGPT</t>
  </si>
  <si>
    <t>The concise one-line docstring and "# Example" block with inline "# True" are typical ChatGPT-style formatting; the optimized trial-division structure is also a common ChatGPT snippet.</t>
  </si>
  <si>
    <t>T05_ChatGPT_transformed</t>
  </si>
  <si>
    <t>The detailed Google-style docstring with Args/Returns and the verbose test case with an expected-output comment are typical ChatGPT patterns.</t>
  </si>
  <si>
    <t>T05_Gemini</t>
  </si>
  <si>
    <t>Docstring phrasing (“Determine if a given integer…” / “Returns False for…”) and defensive isinstance TypeError are typical Gemini. The 6k-loop comment and formatted test-case output also match Gemini style.</t>
  </si>
  <si>
    <t>T05_Gemini_transformed</t>
  </si>
  <si>
    <t>Google-style Args/Returns docstring with explicit TypeError validation and a main-guard test harness using :&gt;3 -&gt; formatting are Claude-style fingerprints; the candidate 6k±1 loop is also a common Claude pattern.</t>
  </si>
  <si>
    <t>T06_Claude</t>
  </si>
  <si>
    <t>T06</t>
  </si>
  <si>
    <t>Second largest</t>
  </si>
  <si>
    <t>Google-style docstring with Raises plus a runnable __main__ demo and inline expected output are typical ChatGPT patterns; redundant validation and defensive style also fit ChatGPT.</t>
  </si>
  <si>
    <t>T06_Claude_transformed</t>
  </si>
  <si>
    <t>The detailed Google-style docstring with Args/Returns/Raises and a __main__ smoke test with expected-output comment are typical ChatGPT patterns. The explicit float('-inf') sentinel loop and error phrasing also match ChatGPT style.</t>
  </si>
  <si>
    <t>T06_ChatGPT</t>
  </si>
  <si>
    <t>Concise Google-style docstring with a Raises section and minimal example, common in ChatGPT outputs. No type hints and straightforward set/remove/max approach also match ChatGPT style.</t>
  </si>
  <si>
    <t>T06_ChatGPT_transformed</t>
  </si>
  <si>
    <t>Google-style docstring with Args/Returns/Raises and a simple sorted(set(...)) implementation plus inline example are typical ChatGPT patterns; absence of type hints or extra explanatory comments makes Claude/Gemini less likely.</t>
  </si>
  <si>
    <t>T06_Gemini</t>
  </si>
  <si>
    <t>Google-style docstring with parenthetical argument types and a separate None return note; the if __name__ == '__main__' demo with explicit edge-case prints and f-strings is a common ChatGPT pattern.</t>
  </si>
  <si>
    <t>T06_Gemini_transformed</t>
  </si>
  <si>
    <t>NumPy-style docstring with Parameters/Returns sections and dashed underlines is characteristic of Claude; the demo block includes labeled edge-case tests.</t>
  </si>
  <si>
    <t>T07_Claude</t>
  </si>
  <si>
    <t>T07</t>
  </si>
  <si>
    <t>Binary search</t>
  </si>
  <si>
    <t>The Google-style docstring with Args/Returns/Raises, no type hints, and the duck-typing hasattr validation plus commented sample print calls are typical ChatGPT patterns.</t>
  </si>
  <si>
    <t>T07_Claude_transformed</t>
  </si>
  <si>
    <t>Numpydoc-style docstring with a dedicated Raises section and explicit input-type validation suggests Claude's defensive, documentation-heavy style. The main guard includes several edge-case examples, also typical of Claude's thoroughness.</t>
  </si>
  <si>
    <t>T07_ChatGPT</t>
  </si>
  <si>
    <t>The concise one-line docstring, canonical left + (right - left) // 2 implementation, and simple # Output: 3 example are very ChatGPT-style. It lacks the more verbose docstrings/type hints often seen from Claude or Gemini.</t>
  </si>
  <si>
    <t>T07_ChatGPT_transformed</t>
  </si>
  <si>
    <t>The NumPy-style docstring and verbose variable names like lower_bound, upper_bound, and middle_index are more characteristic of Claude. ChatGPT/Gemini typically use terser names such as arr, target, low, and high.</t>
  </si>
  <si>
    <t>T07_Gemini</t>
  </si>
  <si>
    <t>Google-style docstring with Args/Returns plus multiple numbered test cases and an explicit edge case is typical ChatGPT style. The if __name__ == "__main__": block with f-string prints also strongly matches ChatGPT-generated examples.</t>
  </si>
  <si>
    <t>T07_Gemini_transformed</t>
  </si>
  <si>
    <t>The NumPy-style docstring with dashed section headers and the verbose __main__ example covering multiple edge cases are characteristic of ChatGPT outputs.</t>
  </si>
  <si>
    <t>T08_Claude</t>
  </si>
  <si>
    <t>T08</t>
  </si>
  <si>
    <t>Email validation</t>
  </si>
  <si>
    <t>The robust step-by-step validation, re.match with ^...$, simple docstring, and built-in test harness with !r formatting are typical ChatGPT patterns</t>
  </si>
  <si>
    <t>T08_Claude_transformed</t>
  </si>
  <si>
    <t>The NumPy-style docstring with Parameters/Returns sections and the clean, type-hinted validation logic with edge-case tests including None are typical of Claude.The code avoids inline comments and uses robust regex/constants, matching Claude’s concise, defensive style.</t>
  </si>
  <si>
    <t>T08_ChatGPT</t>
  </si>
  <si>
    <t>Defensive isinstance check and minimal docstring/example are typical ChatGPT style; redundant ^...$ anchors with re.fullmatch also fits ChatGPT more than Claude/Gemini.</t>
  </si>
  <si>
    <t>T08_ChatGPT_transformed</t>
  </si>
  <si>
    <t>Uses ChatGPT-typical defensive isinstance check, explanatory inline comments, and a simple print(... ) # True example. It lacks Claude-style type hints and full Args: docstring sections.</t>
  </si>
  <si>
    <t>T08_Gemini</t>
  </si>
  <si>
    <t>The code uses typical ChatGPT scaffolding: a short docstring, if __name__ == "__main__": example block, and a test list including None. The simple regex plus formatted test output f"{str(email):&lt;30} -&gt; {status}" is also characteristic of ChatGPT-style generated examples.</t>
  </si>
  <si>
    <t>T08_Gemini_transformed</t>
  </si>
  <si>
    <t>Uses a module-level private compiled regex with type hints and Google-style docstring, plus a polished test harness with aligned !r formatting and non-string edge case.</t>
  </si>
  <si>
    <t>T09_Claude</t>
  </si>
  <si>
    <t>T09</t>
  </si>
  <si>
    <t>Statistics</t>
  </si>
  <si>
    <t>The explicit bool exclusion in numeric validation and careful avoidance of builtins with data_min/data_max suggest Claude’s cautious style; the polished docstring and error handling also fit.</t>
  </si>
  <si>
    <t>T09_Claude_transformed</t>
  </si>
  <si>
    <t>NumPy-style docstring with Parameters/Returns/Raises sections and robust edge-case handling like excluding bool values are Claude-like. Verbose, descriptive variable names and polished main block also match Claude’s style.</t>
  </si>
  <si>
    <t>T09_ChatGPT</t>
  </si>
  <si>
    <t>The manual Counter-based multi-mode implementation and if __name__ == "__main__": example loop are typical ChatGPT patterns; the docstring lacks the more structured Args/type-hint style often seen from Claude.</t>
  </si>
  <si>
    <t>T09_ChatGPT_transformed</t>
  </si>
  <si>
    <t>Google-style docstring with Args/Returns/Raises and verbose _val variable naming are typical ChatGPT patterns. Manual stats implementation with Counter and a sample __main__ block also matches ChatGPT style.</t>
  </si>
  <si>
    <t>T09_Gemini</t>
  </si>
  <si>
    <t>Google-style docstring with types in Args/Returns and robust edge-case handling (n=1 variance, all-unique mode) are characteristic of Claude. Manual frequency dict and polished example output also align.</t>
  </si>
  <si>
    <t>T09_Gemini_transformed</t>
  </si>
  <si>
    <t>NumPy-style docstring with Parameters/Returns is a common ChatGPT fingerprint, and the polished __main__ demo with formatted output and edge-case checks fits ChatGPT style.</t>
  </si>
  <si>
    <t>T10_Claude</t>
  </si>
  <si>
    <t>T10</t>
  </si>
  <si>
    <t>Password validator</t>
  </si>
  <si>
    <t>The explicit errors list plus regex-based rule checks and built-in generics (tuple[bool, list[str]]) are typical ChatGPT style. The if __name__ == "__main__" demo with {pwd!r} f-string formatting also strongly resembles ChatGPT-generated code.</t>
  </si>
  <si>
    <t>T10_Claude_transformed</t>
  </si>
  <si>
    <t>Uses modern built-in generics tuple[bool, list[str]] instead of typing.Tuple/List, and a free-form docstring with bullet-point rules, both common in Claude outputs.</t>
  </si>
  <si>
    <t>T10_ChatGPT</t>
  </si>
  <si>
    <t>The simple any-based checks with no type hints and the inline # True example are typical ChatGPT style.</t>
  </si>
  <si>
    <t>T10_ChatGPT_transformed</t>
  </si>
  <si>
    <t>The manual boolean-flag loop with chained initialization (has_uppercase = ... = False) is a common ChatGPT pattern; it avoids regex or any() idioms more typical of Gemini/Claude.</t>
  </si>
  <si>
    <t>T10_Gemini</t>
  </si>
  <si>
    <t>The structured docstring with Args/Returns and the verbose __main__ test harness with inline comments are highly typical of ChatGPT. The implementation uses straightforward any/all checks rather than a regex-heavy style.</t>
  </si>
  <si>
    <t>T10_Gemini_transformed</t>
  </si>
  <si>
    <t>The bullet-list docstring and __main__ test harness with commented sample cases are typical ChatGPT patterns; also type(password) is not str is a less idiomatic type check often seen in ChatGPT-generated code.</t>
  </si>
  <si>
    <t>Source-identification accuracy</t>
  </si>
  <si>
    <t>Chance baseline (3 classes)</t>
  </si>
  <si>
    <t>Accuracy — original</t>
  </si>
  <si>
    <t>Accuracy — transformed</t>
  </si>
  <si>
    <t>Functional pass rate — original</t>
  </si>
  <si>
    <t>Functional pass rate — transformed</t>
  </si>
  <si>
    <t>Avg confidence — correct predictions</t>
  </si>
  <si>
    <t>Avg confidence — incorrect predictions</t>
  </si>
  <si>
    <t>Confusion matrix — original (rows=actual, cols=predicted)</t>
  </si>
  <si>
    <t>Actual \ Predicted</t>
  </si>
  <si>
    <t>Confusion matrix — transformed (rows=actual, cols=predicted)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</si>
</sst>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0" fontId="2" fillId="3" borderId="0" xfId="0" applyFont="1" applyFill="1" applyAlignment="1"/>
    <xf numFmtId="0" fontId="1" fillId="0" borderId="0" xfId="0" applyFont="1" applyAlignment="1"/>
    <xf numFmtId="164" fontId="2" fillId="0" borderId="0" xfId="0" applyNumberFormat="1" applyFont="1" applyAlignment="1"/>
    <xf numFmtId="0" fontId="3" fillId="4" borderId="0" xfId="0" applyFont="1" applyFill="1" applyAlignment="1"/>
    <xf numFmtId="0" fontId="1" fillId="4" borderId="0" xfId="0" applyFont="1" applyFill="1" applyAlignme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zoomScaleNormal="100" workbookViewId="0">
      <selection activeCell="A14" sqref="A14"/>
    </sheetView>
  </sheetViews>
  <sheetFormatPr defaultColWidth="8.7109375" defaultRowHeight="15"/>
  <cols>
    <col min="1" max="1" width="34" style="1" customWidth="1"/>
    <col min="2" max="2" width="82" style="1" customWidth="1"/>
  </cols>
  <sheetData>
    <row r="1" spans="1:2" ht="26.25" customHeight="1">
      <c r="A1" s="2" t="s">
        <v>0</v>
      </c>
      <c r="B1" s="3"/>
    </row>
    <row r="2" spans="1:2" ht="15" customHeight="1">
      <c r="A2" s="3"/>
      <c r="B2" s="3"/>
    </row>
    <row r="3" spans="1:2" ht="15" customHeight="1">
      <c r="A3" s="2" t="s">
        <v>1</v>
      </c>
      <c r="B3" s="3" t="s">
        <v>2</v>
      </c>
    </row>
    <row r="4" spans="1:2" ht="26.25" customHeight="1">
      <c r="A4" s="2" t="s">
        <v>3</v>
      </c>
      <c r="B4" s="3"/>
    </row>
    <row r="5" spans="1:2" ht="15" customHeight="1">
      <c r="A5" s="3" t="s">
        <v>4</v>
      </c>
      <c r="B5" s="3" t="s">
        <v>5</v>
      </c>
    </row>
    <row r="6" spans="1:2" ht="15" customHeight="1">
      <c r="A6" s="3" t="s">
        <v>6</v>
      </c>
      <c r="B6" s="3" t="s">
        <v>7</v>
      </c>
    </row>
    <row r="7" spans="1:2" ht="15" customHeight="1">
      <c r="A7" s="3" t="s">
        <v>8</v>
      </c>
      <c r="B7" s="3" t="s">
        <v>9</v>
      </c>
    </row>
    <row r="8" spans="1:2" ht="15" customHeight="1">
      <c r="A8" s="3" t="s">
        <v>10</v>
      </c>
      <c r="B8" s="3" t="s">
        <v>11</v>
      </c>
    </row>
    <row r="9" spans="1:2" ht="15" customHeight="1">
      <c r="A9" s="3"/>
      <c r="B9" s="3"/>
    </row>
    <row r="10" spans="1:2" ht="15" customHeight="1">
      <c r="A10" s="2" t="s">
        <v>12</v>
      </c>
      <c r="B10" s="3"/>
    </row>
    <row r="11" spans="1:2" ht="26.25" customHeight="1">
      <c r="A11" s="3" t="s">
        <v>13</v>
      </c>
      <c r="B11" s="3" t="s">
        <v>14</v>
      </c>
    </row>
    <row r="12" spans="1:2" ht="26.25" customHeight="1">
      <c r="A12" s="3" t="s">
        <v>15</v>
      </c>
      <c r="B12" s="3" t="s">
        <v>16</v>
      </c>
    </row>
    <row r="13" spans="1:2" ht="15" customHeight="1">
      <c r="A13" s="3"/>
      <c r="B13" s="3"/>
    </row>
    <row r="14" spans="1:2" ht="26.25" customHeight="1">
      <c r="A14" s="2" t="s">
        <v>17</v>
      </c>
      <c r="B14" s="3"/>
    </row>
    <row r="15" spans="1:2" ht="15" customHeight="1">
      <c r="A15" s="3" t="s">
        <v>18</v>
      </c>
      <c r="B15" s="3" t="s">
        <v>19</v>
      </c>
    </row>
    <row r="16" spans="1:2" ht="15" customHeight="1">
      <c r="A16" s="3" t="s">
        <v>20</v>
      </c>
      <c r="B16" s="3" t="s">
        <v>21</v>
      </c>
    </row>
    <row r="17" spans="1:2" ht="15" customHeight="1">
      <c r="A17" s="3"/>
      <c r="B17" s="3"/>
    </row>
    <row r="18" spans="1:2" ht="39" customHeight="1">
      <c r="A18" s="2" t="s">
        <v>22</v>
      </c>
      <c r="B18" s="3" t="s">
        <v>23</v>
      </c>
    </row>
    <row r="19" spans="1:2" ht="15" customHeight="1">
      <c r="A19" s="3"/>
      <c r="B19" s="3"/>
    </row>
    <row r="20" spans="1:2" ht="26.25" customHeight="1">
      <c r="A20" s="2" t="s">
        <v>24</v>
      </c>
      <c r="B20" s="3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zoomScaleNormal="100" workbookViewId="0">
      <pane ySplit="1" topLeftCell="A53" activePane="bottomLeft" state="frozen"/>
      <selection pane="bottomLeft" activeCell="H62" sqref="H62"/>
    </sheetView>
  </sheetViews>
  <sheetFormatPr defaultColWidth="8.7109375" defaultRowHeight="15"/>
  <cols>
    <col min="1" max="1" width="22" style="1" customWidth="1"/>
    <col min="2" max="2" width="8" style="1" customWidth="1"/>
    <col min="3" max="3" width="16" style="1" customWidth="1"/>
    <col min="4" max="6" width="12" style="1" customWidth="1"/>
    <col min="7" max="9" width="14" style="1" customWidth="1"/>
    <col min="10" max="11" width="16" style="1" customWidth="1"/>
    <col min="12" max="12" width="20" style="1" customWidth="1"/>
    <col min="13" max="13" width="8" style="1" customWidth="1"/>
    <col min="14" max="14" width="50" style="1" customWidth="1"/>
  </cols>
  <sheetData>
    <row r="1" spans="1:14" ht="26.25" customHeight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11" t="s">
        <v>35</v>
      </c>
      <c r="K1" s="4" t="s">
        <v>36</v>
      </c>
      <c r="L1" s="4" t="s">
        <v>37</v>
      </c>
      <c r="M1" s="4" t="s">
        <v>38</v>
      </c>
      <c r="N1" s="11" t="s">
        <v>39</v>
      </c>
    </row>
    <row r="2" spans="1:14" ht="15" customHeight="1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6" t="s">
        <v>45</v>
      </c>
      <c r="G2" s="5" t="s">
        <v>46</v>
      </c>
      <c r="H2" s="5" t="s">
        <v>43</v>
      </c>
      <c r="I2" s="5" t="s">
        <v>47</v>
      </c>
      <c r="J2" s="6" t="s">
        <v>48</v>
      </c>
      <c r="K2" s="6">
        <v>78</v>
      </c>
      <c r="L2" s="5" t="str">
        <f>IF(J2="A",G2,IF(J2="B",H2,IF(J2="C",I2,"")))</f>
        <v>ChatGPT</v>
      </c>
      <c r="M2" s="5">
        <f>IF(L2=D2,1,0)</f>
        <v>0</v>
      </c>
      <c r="N2" s="12" t="s">
        <v>49</v>
      </c>
    </row>
    <row r="3" spans="1:14" ht="15" customHeight="1">
      <c r="A3" s="5" t="s">
        <v>50</v>
      </c>
      <c r="B3" s="5" t="s">
        <v>41</v>
      </c>
      <c r="C3" s="5" t="s">
        <v>42</v>
      </c>
      <c r="D3" s="5" t="s">
        <v>43</v>
      </c>
      <c r="E3" s="5" t="s">
        <v>51</v>
      </c>
      <c r="F3" s="6" t="s">
        <v>45</v>
      </c>
      <c r="G3" s="5" t="s">
        <v>47</v>
      </c>
      <c r="H3" s="5" t="s">
        <v>46</v>
      </c>
      <c r="I3" s="5" t="s">
        <v>43</v>
      </c>
      <c r="J3" s="6" t="s">
        <v>52</v>
      </c>
      <c r="K3" s="6">
        <v>78</v>
      </c>
      <c r="L3" s="5" t="str">
        <f>IF(J3="A",G3,IF(J3="B",H3,IF(J3="C",I3,"")))</f>
        <v>ChatGPT</v>
      </c>
      <c r="M3" s="5">
        <f>IF(L3=D3,1,0)</f>
        <v>0</v>
      </c>
      <c r="N3" s="12" t="s">
        <v>53</v>
      </c>
    </row>
    <row r="4" spans="1:14" ht="15" customHeight="1">
      <c r="A4" s="5" t="s">
        <v>54</v>
      </c>
      <c r="B4" s="5" t="s">
        <v>41</v>
      </c>
      <c r="C4" s="5" t="s">
        <v>42</v>
      </c>
      <c r="D4" s="5" t="s">
        <v>46</v>
      </c>
      <c r="E4" s="5" t="s">
        <v>44</v>
      </c>
      <c r="F4" s="6" t="s">
        <v>45</v>
      </c>
      <c r="G4" s="5" t="s">
        <v>46</v>
      </c>
      <c r="H4" s="5" t="s">
        <v>47</v>
      </c>
      <c r="I4" s="5" t="s">
        <v>43</v>
      </c>
      <c r="J4" s="6" t="s">
        <v>48</v>
      </c>
      <c r="K4" s="6">
        <v>70</v>
      </c>
      <c r="L4" s="5" t="str">
        <f>IF(J4="A",G4,IF(J4="B",H4,IF(J4="C",I4,"")))</f>
        <v>ChatGPT</v>
      </c>
      <c r="M4" s="5">
        <f>IF(L4=D4,1,0)</f>
        <v>1</v>
      </c>
      <c r="N4" s="12" t="s">
        <v>55</v>
      </c>
    </row>
    <row r="5" spans="1:14" ht="15" customHeight="1">
      <c r="A5" s="5" t="s">
        <v>56</v>
      </c>
      <c r="B5" s="5" t="s">
        <v>41</v>
      </c>
      <c r="C5" s="5" t="s">
        <v>42</v>
      </c>
      <c r="D5" s="5" t="s">
        <v>46</v>
      </c>
      <c r="E5" s="5" t="s">
        <v>51</v>
      </c>
      <c r="F5" s="6" t="s">
        <v>45</v>
      </c>
      <c r="G5" s="5" t="s">
        <v>46</v>
      </c>
      <c r="H5" s="5" t="s">
        <v>47</v>
      </c>
      <c r="I5" s="5" t="s">
        <v>43</v>
      </c>
      <c r="J5" s="6" t="s">
        <v>52</v>
      </c>
      <c r="K5" s="6">
        <v>70</v>
      </c>
      <c r="L5" s="5" t="str">
        <f>IF(J5="A",G5,IF(J5="B",H5,IF(J5="C",I5,"")))</f>
        <v>Gemini</v>
      </c>
      <c r="M5" s="5">
        <f>IF(L5=D5,1,0)</f>
        <v>0</v>
      </c>
      <c r="N5" s="12" t="s">
        <v>57</v>
      </c>
    </row>
    <row r="6" spans="1:14" ht="15" customHeight="1">
      <c r="A6" s="5" t="s">
        <v>58</v>
      </c>
      <c r="B6" s="5" t="s">
        <v>41</v>
      </c>
      <c r="C6" s="5" t="s">
        <v>42</v>
      </c>
      <c r="D6" s="5" t="s">
        <v>47</v>
      </c>
      <c r="E6" s="5" t="s">
        <v>44</v>
      </c>
      <c r="F6" s="6" t="s">
        <v>45</v>
      </c>
      <c r="G6" s="5" t="s">
        <v>46</v>
      </c>
      <c r="H6" s="5" t="s">
        <v>43</v>
      </c>
      <c r="I6" s="5" t="s">
        <v>47</v>
      </c>
      <c r="J6" s="6" t="s">
        <v>48</v>
      </c>
      <c r="K6" s="6">
        <v>80</v>
      </c>
      <c r="L6" s="5" t="str">
        <f>IF(J6="A",G6,IF(J6="B",H6,IF(J6="C",I6,"")))</f>
        <v>ChatGPT</v>
      </c>
      <c r="M6" s="5">
        <f>IF(L6=D6,1,0)</f>
        <v>0</v>
      </c>
      <c r="N6" s="12" t="s">
        <v>59</v>
      </c>
    </row>
    <row r="7" spans="1:14" ht="15" customHeight="1">
      <c r="A7" s="5" t="s">
        <v>60</v>
      </c>
      <c r="B7" s="5" t="s">
        <v>41</v>
      </c>
      <c r="C7" s="5" t="s">
        <v>42</v>
      </c>
      <c r="D7" s="5" t="s">
        <v>47</v>
      </c>
      <c r="E7" s="5" t="s">
        <v>51</v>
      </c>
      <c r="F7" s="6" t="s">
        <v>45</v>
      </c>
      <c r="G7" s="5" t="s">
        <v>43</v>
      </c>
      <c r="H7" s="5" t="s">
        <v>46</v>
      </c>
      <c r="I7" s="5" t="s">
        <v>47</v>
      </c>
      <c r="J7" s="6" t="s">
        <v>52</v>
      </c>
      <c r="K7" s="6">
        <v>75</v>
      </c>
      <c r="L7" s="5" t="str">
        <f>IF(J7="A",G7,IF(J7="B",H7,IF(J7="C",I7,"")))</f>
        <v>ChatGPT</v>
      </c>
      <c r="M7" s="5">
        <f>IF(L7=D7,1,0)</f>
        <v>0</v>
      </c>
      <c r="N7" s="12" t="s">
        <v>61</v>
      </c>
    </row>
    <row r="8" spans="1:14" ht="15" customHeight="1">
      <c r="A8" s="5" t="s">
        <v>62</v>
      </c>
      <c r="B8" s="5" t="s">
        <v>63</v>
      </c>
      <c r="C8" s="5" t="s">
        <v>64</v>
      </c>
      <c r="D8" s="5" t="s">
        <v>43</v>
      </c>
      <c r="E8" s="5" t="s">
        <v>44</v>
      </c>
      <c r="F8" s="6" t="s">
        <v>45</v>
      </c>
      <c r="G8" s="5" t="s">
        <v>46</v>
      </c>
      <c r="H8" s="5" t="s">
        <v>47</v>
      </c>
      <c r="I8" s="5" t="s">
        <v>43</v>
      </c>
      <c r="J8" s="6" t="s">
        <v>48</v>
      </c>
      <c r="K8" s="6">
        <v>65</v>
      </c>
      <c r="L8" s="5" t="str">
        <f>IF(J8="A",G8,IF(J8="B",H8,IF(J8="C",I8,"")))</f>
        <v>ChatGPT</v>
      </c>
      <c r="M8" s="5">
        <f>IF(L8=D8,1,0)</f>
        <v>0</v>
      </c>
      <c r="N8" s="12" t="s">
        <v>65</v>
      </c>
    </row>
    <row r="9" spans="1:14" ht="15" customHeight="1">
      <c r="A9" s="5" t="s">
        <v>66</v>
      </c>
      <c r="B9" s="5" t="s">
        <v>63</v>
      </c>
      <c r="C9" s="5" t="s">
        <v>64</v>
      </c>
      <c r="D9" s="5" t="s">
        <v>43</v>
      </c>
      <c r="E9" s="5" t="s">
        <v>51</v>
      </c>
      <c r="F9" s="6" t="s">
        <v>45</v>
      </c>
      <c r="G9" s="5" t="s">
        <v>46</v>
      </c>
      <c r="H9" s="5" t="s">
        <v>47</v>
      </c>
      <c r="I9" s="5" t="s">
        <v>43</v>
      </c>
      <c r="J9" s="6" t="s">
        <v>48</v>
      </c>
      <c r="K9" s="6">
        <v>82</v>
      </c>
      <c r="L9" s="5" t="str">
        <f>IF(J9="A",G9,IF(J9="B",H9,IF(J9="C",I9,"")))</f>
        <v>ChatGPT</v>
      </c>
      <c r="M9" s="5">
        <f>IF(L9=D9,1,0)</f>
        <v>0</v>
      </c>
      <c r="N9" s="12" t="s">
        <v>67</v>
      </c>
    </row>
    <row r="10" spans="1:14" ht="15" customHeight="1">
      <c r="A10" s="5" t="s">
        <v>68</v>
      </c>
      <c r="B10" s="5" t="s">
        <v>63</v>
      </c>
      <c r="C10" s="5" t="s">
        <v>64</v>
      </c>
      <c r="D10" s="5" t="s">
        <v>46</v>
      </c>
      <c r="E10" s="5" t="s">
        <v>44</v>
      </c>
      <c r="F10" s="6" t="s">
        <v>45</v>
      </c>
      <c r="G10" s="5" t="s">
        <v>46</v>
      </c>
      <c r="H10" s="5" t="s">
        <v>47</v>
      </c>
      <c r="I10" s="5" t="s">
        <v>43</v>
      </c>
      <c r="J10" s="6" t="s">
        <v>48</v>
      </c>
      <c r="K10" s="6">
        <v>75</v>
      </c>
      <c r="L10" s="5" t="str">
        <f>IF(J10="A",G10,IF(J10="B",H10,IF(J10="C",I10,"")))</f>
        <v>ChatGPT</v>
      </c>
      <c r="M10" s="5">
        <f>IF(L10=D10,1,0)</f>
        <v>1</v>
      </c>
      <c r="N10" s="12" t="s">
        <v>69</v>
      </c>
    </row>
    <row r="11" spans="1:14" ht="15" customHeight="1">
      <c r="A11" s="5" t="s">
        <v>70</v>
      </c>
      <c r="B11" s="5" t="s">
        <v>63</v>
      </c>
      <c r="C11" s="5" t="s">
        <v>64</v>
      </c>
      <c r="D11" s="5" t="s">
        <v>46</v>
      </c>
      <c r="E11" s="5" t="s">
        <v>51</v>
      </c>
      <c r="F11" s="6" t="s">
        <v>45</v>
      </c>
      <c r="G11" s="5" t="s">
        <v>46</v>
      </c>
      <c r="H11" s="5" t="s">
        <v>43</v>
      </c>
      <c r="I11" s="5" t="s">
        <v>47</v>
      </c>
      <c r="J11" s="6" t="s">
        <v>71</v>
      </c>
      <c r="K11" s="6">
        <v>85</v>
      </c>
      <c r="L11" s="5" t="str">
        <f>IF(J11="A",G11,IF(J11="B",H11,IF(J11="C",I11,"")))</f>
        <v>Gemini</v>
      </c>
      <c r="M11" s="5">
        <f>IF(L11=D11,1,0)</f>
        <v>0</v>
      </c>
      <c r="N11" s="12" t="s">
        <v>72</v>
      </c>
    </row>
    <row r="12" spans="1:14" ht="15" customHeight="1">
      <c r="A12" s="5" t="s">
        <v>73</v>
      </c>
      <c r="B12" s="5" t="s">
        <v>63</v>
      </c>
      <c r="C12" s="5" t="s">
        <v>64</v>
      </c>
      <c r="D12" s="5" t="s">
        <v>47</v>
      </c>
      <c r="E12" s="5" t="s">
        <v>44</v>
      </c>
      <c r="F12" s="6" t="s">
        <v>45</v>
      </c>
      <c r="G12" s="5" t="s">
        <v>43</v>
      </c>
      <c r="H12" s="5" t="s">
        <v>46</v>
      </c>
      <c r="I12" s="5" t="s">
        <v>47</v>
      </c>
      <c r="J12" s="6" t="s">
        <v>52</v>
      </c>
      <c r="K12" s="6">
        <v>75</v>
      </c>
      <c r="L12" s="5" t="str">
        <f>IF(J12="A",G12,IF(J12="B",H12,IF(J12="C",I12,"")))</f>
        <v>ChatGPT</v>
      </c>
      <c r="M12" s="5">
        <f>IF(L12=D12,1,0)</f>
        <v>0</v>
      </c>
      <c r="N12" s="12" t="s">
        <v>74</v>
      </c>
    </row>
    <row r="13" spans="1:14" ht="15" customHeight="1">
      <c r="A13" s="5" t="s">
        <v>75</v>
      </c>
      <c r="B13" s="5" t="s">
        <v>63</v>
      </c>
      <c r="C13" s="5" t="s">
        <v>64</v>
      </c>
      <c r="D13" s="5" t="s">
        <v>47</v>
      </c>
      <c r="E13" s="5" t="s">
        <v>51</v>
      </c>
      <c r="F13" s="6" t="s">
        <v>45</v>
      </c>
      <c r="G13" s="5" t="s">
        <v>47</v>
      </c>
      <c r="H13" s="5" t="s">
        <v>46</v>
      </c>
      <c r="I13" s="5" t="s">
        <v>43</v>
      </c>
      <c r="J13" s="6" t="s">
        <v>52</v>
      </c>
      <c r="K13" s="6">
        <v>80</v>
      </c>
      <c r="L13" s="5" t="str">
        <f>IF(J13="A",G13,IF(J13="B",H13,IF(J13="C",I13,"")))</f>
        <v>ChatGPT</v>
      </c>
      <c r="M13" s="5">
        <f>IF(L13=D13,1,0)</f>
        <v>0</v>
      </c>
      <c r="N13" s="12" t="s">
        <v>76</v>
      </c>
    </row>
    <row r="14" spans="1:14" ht="15" customHeight="1">
      <c r="A14" s="5" t="s">
        <v>77</v>
      </c>
      <c r="B14" s="5" t="s">
        <v>78</v>
      </c>
      <c r="C14" s="5" t="s">
        <v>79</v>
      </c>
      <c r="D14" s="5" t="s">
        <v>43</v>
      </c>
      <c r="E14" s="5" t="s">
        <v>44</v>
      </c>
      <c r="F14" s="6" t="s">
        <v>45</v>
      </c>
      <c r="G14" s="5" t="s">
        <v>43</v>
      </c>
      <c r="H14" s="5" t="s">
        <v>46</v>
      </c>
      <c r="I14" s="5" t="s">
        <v>47</v>
      </c>
      <c r="J14" s="6" t="s">
        <v>52</v>
      </c>
      <c r="K14" s="6">
        <v>78</v>
      </c>
      <c r="L14" s="5" t="str">
        <f>IF(J14="A",G14,IF(J14="B",H14,IF(J14="C",I14,"")))</f>
        <v>ChatGPT</v>
      </c>
      <c r="M14" s="5">
        <f>IF(L14=D14,1,0)</f>
        <v>0</v>
      </c>
      <c r="N14" s="12" t="s">
        <v>80</v>
      </c>
    </row>
    <row r="15" spans="1:14" ht="15" customHeight="1">
      <c r="A15" s="5" t="s">
        <v>81</v>
      </c>
      <c r="B15" s="5" t="s">
        <v>78</v>
      </c>
      <c r="C15" s="5" t="s">
        <v>79</v>
      </c>
      <c r="D15" s="5" t="s">
        <v>43</v>
      </c>
      <c r="E15" s="5" t="s">
        <v>51</v>
      </c>
      <c r="F15" s="6" t="s">
        <v>45</v>
      </c>
      <c r="G15" s="5" t="s">
        <v>46</v>
      </c>
      <c r="H15" s="5" t="s">
        <v>47</v>
      </c>
      <c r="I15" s="5" t="s">
        <v>43</v>
      </c>
      <c r="J15" s="6" t="s">
        <v>48</v>
      </c>
      <c r="K15" s="6">
        <v>85</v>
      </c>
      <c r="L15" s="5" t="str">
        <f>IF(J15="A",G15,IF(J15="B",H15,IF(J15="C",I15,"")))</f>
        <v>ChatGPT</v>
      </c>
      <c r="M15" s="5">
        <f>IF(L15=D15,1,0)</f>
        <v>0</v>
      </c>
      <c r="N15" s="12" t="s">
        <v>82</v>
      </c>
    </row>
    <row r="16" spans="1:14" ht="15" customHeight="1">
      <c r="A16" s="5" t="s">
        <v>83</v>
      </c>
      <c r="B16" s="5" t="s">
        <v>78</v>
      </c>
      <c r="C16" s="5" t="s">
        <v>79</v>
      </c>
      <c r="D16" s="5" t="s">
        <v>46</v>
      </c>
      <c r="E16" s="5" t="s">
        <v>44</v>
      </c>
      <c r="F16" s="6" t="s">
        <v>45</v>
      </c>
      <c r="G16" s="5" t="s">
        <v>43</v>
      </c>
      <c r="H16" s="5" t="s">
        <v>46</v>
      </c>
      <c r="I16" s="5" t="s">
        <v>47</v>
      </c>
      <c r="J16" s="6" t="s">
        <v>52</v>
      </c>
      <c r="K16" s="6">
        <v>70</v>
      </c>
      <c r="L16" s="5" t="str">
        <f>IF(J16="A",G16,IF(J16="B",H16,IF(J16="C",I16,"")))</f>
        <v>ChatGPT</v>
      </c>
      <c r="M16" s="5">
        <f>IF(L16=D16,1,0)</f>
        <v>1</v>
      </c>
      <c r="N16" s="12" t="s">
        <v>84</v>
      </c>
    </row>
    <row r="17" spans="1:14" ht="15" customHeight="1">
      <c r="A17" s="5" t="s">
        <v>85</v>
      </c>
      <c r="B17" s="5" t="s">
        <v>78</v>
      </c>
      <c r="C17" s="5" t="s">
        <v>79</v>
      </c>
      <c r="D17" s="5" t="s">
        <v>46</v>
      </c>
      <c r="E17" s="5" t="s">
        <v>51</v>
      </c>
      <c r="F17" s="6" t="s">
        <v>45</v>
      </c>
      <c r="G17" s="5" t="s">
        <v>43</v>
      </c>
      <c r="H17" s="5" t="s">
        <v>47</v>
      </c>
      <c r="I17" s="5" t="s">
        <v>46</v>
      </c>
      <c r="J17" s="6" t="s">
        <v>71</v>
      </c>
      <c r="K17" s="6">
        <v>85</v>
      </c>
      <c r="L17" s="5" t="str">
        <f>IF(J17="A",G17,IF(J17="B",H17,IF(J17="C",I17,"")))</f>
        <v>ChatGPT</v>
      </c>
      <c r="M17" s="5">
        <f>IF(L17=D17,1,0)</f>
        <v>1</v>
      </c>
      <c r="N17" s="12" t="s">
        <v>86</v>
      </c>
    </row>
    <row r="18" spans="1:14" ht="15" customHeight="1">
      <c r="A18" s="5" t="s">
        <v>87</v>
      </c>
      <c r="B18" s="5" t="s">
        <v>78</v>
      </c>
      <c r="C18" s="5" t="s">
        <v>79</v>
      </c>
      <c r="D18" s="5" t="s">
        <v>47</v>
      </c>
      <c r="E18" s="5" t="s">
        <v>44</v>
      </c>
      <c r="F18" s="6" t="s">
        <v>45</v>
      </c>
      <c r="G18" s="5" t="s">
        <v>46</v>
      </c>
      <c r="H18" s="5" t="s">
        <v>47</v>
      </c>
      <c r="I18" s="5" t="s">
        <v>43</v>
      </c>
      <c r="J18" s="6" t="s">
        <v>48</v>
      </c>
      <c r="K18" s="6">
        <v>70</v>
      </c>
      <c r="L18" s="5" t="str">
        <f>IF(J18="A",G18,IF(J18="B",H18,IF(J18="C",I18,"")))</f>
        <v>ChatGPT</v>
      </c>
      <c r="M18" s="5">
        <f>IF(L18=D18,1,0)</f>
        <v>0</v>
      </c>
      <c r="N18" s="12" t="s">
        <v>88</v>
      </c>
    </row>
    <row r="19" spans="1:14" ht="15" customHeight="1">
      <c r="A19" s="5" t="s">
        <v>89</v>
      </c>
      <c r="B19" s="5" t="s">
        <v>78</v>
      </c>
      <c r="C19" s="5" t="s">
        <v>79</v>
      </c>
      <c r="D19" s="5" t="s">
        <v>47</v>
      </c>
      <c r="E19" s="5" t="s">
        <v>51</v>
      </c>
      <c r="F19" s="6" t="s">
        <v>45</v>
      </c>
      <c r="G19" s="5" t="s">
        <v>47</v>
      </c>
      <c r="H19" s="5" t="s">
        <v>43</v>
      </c>
      <c r="I19" s="5" t="s">
        <v>46</v>
      </c>
      <c r="J19" s="6" t="s">
        <v>71</v>
      </c>
      <c r="K19" s="6">
        <v>75</v>
      </c>
      <c r="L19" s="5" t="str">
        <f>IF(J19="A",G19,IF(J19="B",H19,IF(J19="C",I19,"")))</f>
        <v>ChatGPT</v>
      </c>
      <c r="M19" s="5">
        <f>IF(L19=D19,1,0)</f>
        <v>0</v>
      </c>
      <c r="N19" s="12" t="s">
        <v>90</v>
      </c>
    </row>
    <row r="20" spans="1:14" ht="15" customHeight="1">
      <c r="A20" s="5" t="s">
        <v>91</v>
      </c>
      <c r="B20" s="5" t="s">
        <v>92</v>
      </c>
      <c r="C20" s="5" t="s">
        <v>93</v>
      </c>
      <c r="D20" s="5" t="s">
        <v>43</v>
      </c>
      <c r="E20" s="5" t="s">
        <v>44</v>
      </c>
      <c r="F20" s="6" t="s">
        <v>45</v>
      </c>
      <c r="G20" s="5" t="s">
        <v>47</v>
      </c>
      <c r="H20" s="5" t="s">
        <v>46</v>
      </c>
      <c r="I20" s="5" t="s">
        <v>43</v>
      </c>
      <c r="J20" s="6" t="s">
        <v>52</v>
      </c>
      <c r="K20" s="6">
        <v>70</v>
      </c>
      <c r="L20" s="5" t="str">
        <f>IF(J20="A",G20,IF(J20="B",H20,IF(J20="C",I20,"")))</f>
        <v>ChatGPT</v>
      </c>
      <c r="M20" s="5">
        <f>IF(L20=D20,1,0)</f>
        <v>0</v>
      </c>
      <c r="N20" s="12" t="s">
        <v>94</v>
      </c>
    </row>
    <row r="21" spans="1:14" ht="15" customHeight="1">
      <c r="A21" s="5" t="s">
        <v>95</v>
      </c>
      <c r="B21" s="5" t="s">
        <v>92</v>
      </c>
      <c r="C21" s="5" t="s">
        <v>93</v>
      </c>
      <c r="D21" s="5" t="s">
        <v>43</v>
      </c>
      <c r="E21" s="5" t="s">
        <v>51</v>
      </c>
      <c r="F21" s="6" t="s">
        <v>45</v>
      </c>
      <c r="G21" s="5" t="s">
        <v>47</v>
      </c>
      <c r="H21" s="5" t="s">
        <v>46</v>
      </c>
      <c r="I21" s="5" t="s">
        <v>43</v>
      </c>
      <c r="J21" s="6" t="s">
        <v>52</v>
      </c>
      <c r="K21" s="6">
        <v>85</v>
      </c>
      <c r="L21" s="5" t="str">
        <f>IF(J21="A",G21,IF(J21="B",H21,IF(J21="C",I21,"")))</f>
        <v>ChatGPT</v>
      </c>
      <c r="M21" s="5">
        <f>IF(L21=D21,1,0)</f>
        <v>0</v>
      </c>
      <c r="N21" s="12" t="s">
        <v>96</v>
      </c>
    </row>
    <row r="22" spans="1:14" ht="15" customHeight="1">
      <c r="A22" s="5" t="s">
        <v>97</v>
      </c>
      <c r="B22" s="5" t="s">
        <v>92</v>
      </c>
      <c r="C22" s="5" t="s">
        <v>93</v>
      </c>
      <c r="D22" s="5" t="s">
        <v>46</v>
      </c>
      <c r="E22" s="5" t="s">
        <v>44</v>
      </c>
      <c r="F22" s="6" t="s">
        <v>45</v>
      </c>
      <c r="G22" s="5" t="s">
        <v>43</v>
      </c>
      <c r="H22" s="5" t="s">
        <v>47</v>
      </c>
      <c r="I22" s="5" t="s">
        <v>46</v>
      </c>
      <c r="J22" s="6" t="s">
        <v>71</v>
      </c>
      <c r="K22" s="6">
        <v>85</v>
      </c>
      <c r="L22" s="5" t="str">
        <f>IF(J22="A",G22,IF(J22="B",H22,IF(J22="C",I22,"")))</f>
        <v>ChatGPT</v>
      </c>
      <c r="M22" s="5">
        <f>IF(L22=D22,1,0)</f>
        <v>1</v>
      </c>
      <c r="N22" s="12" t="s">
        <v>98</v>
      </c>
    </row>
    <row r="23" spans="1:14" ht="15" customHeight="1">
      <c r="A23" s="5" t="s">
        <v>99</v>
      </c>
      <c r="B23" s="5" t="s">
        <v>92</v>
      </c>
      <c r="C23" s="5" t="s">
        <v>93</v>
      </c>
      <c r="D23" s="5" t="s">
        <v>46</v>
      </c>
      <c r="E23" s="5" t="s">
        <v>51</v>
      </c>
      <c r="F23" s="6" t="s">
        <v>45</v>
      </c>
      <c r="G23" s="5" t="s">
        <v>47</v>
      </c>
      <c r="H23" s="5" t="s">
        <v>46</v>
      </c>
      <c r="I23" s="5" t="s">
        <v>43</v>
      </c>
      <c r="J23" s="6" t="s">
        <v>52</v>
      </c>
      <c r="K23" s="6">
        <v>82</v>
      </c>
      <c r="L23" s="5" t="str">
        <f>IF(J23="A",G23,IF(J23="B",H23,IF(J23="C",I23,"")))</f>
        <v>ChatGPT</v>
      </c>
      <c r="M23" s="5">
        <f>IF(L23=D23,1,0)</f>
        <v>1</v>
      </c>
      <c r="N23" s="12" t="s">
        <v>100</v>
      </c>
    </row>
    <row r="24" spans="1:14" ht="15" customHeight="1">
      <c r="A24" s="5" t="s">
        <v>101</v>
      </c>
      <c r="B24" s="5" t="s">
        <v>92</v>
      </c>
      <c r="C24" s="5" t="s">
        <v>93</v>
      </c>
      <c r="D24" s="5" t="s">
        <v>47</v>
      </c>
      <c r="E24" s="5" t="s">
        <v>44</v>
      </c>
      <c r="F24" s="6" t="s">
        <v>45</v>
      </c>
      <c r="G24" s="5" t="s">
        <v>46</v>
      </c>
      <c r="H24" s="5" t="s">
        <v>43</v>
      </c>
      <c r="I24" s="5" t="s">
        <v>47</v>
      </c>
      <c r="J24" s="6" t="s">
        <v>48</v>
      </c>
      <c r="K24" s="6">
        <v>90</v>
      </c>
      <c r="L24" s="5" t="str">
        <f>IF(J24="A",G24,IF(J24="B",H24,IF(J24="C",I24,"")))</f>
        <v>ChatGPT</v>
      </c>
      <c r="M24" s="5">
        <f>IF(L24=D24,1,0)</f>
        <v>0</v>
      </c>
      <c r="N24" s="12" t="s">
        <v>102</v>
      </c>
    </row>
    <row r="25" spans="1:14" ht="15" customHeight="1">
      <c r="A25" s="5" t="s">
        <v>103</v>
      </c>
      <c r="B25" s="5" t="s">
        <v>92</v>
      </c>
      <c r="C25" s="5" t="s">
        <v>93</v>
      </c>
      <c r="D25" s="5" t="s">
        <v>47</v>
      </c>
      <c r="E25" s="5" t="s">
        <v>51</v>
      </c>
      <c r="F25" s="6" t="s">
        <v>45</v>
      </c>
      <c r="G25" s="5" t="s">
        <v>47</v>
      </c>
      <c r="H25" s="5" t="s">
        <v>43</v>
      </c>
      <c r="I25" s="5" t="s">
        <v>46</v>
      </c>
      <c r="J25" s="6" t="s">
        <v>71</v>
      </c>
      <c r="K25" s="6">
        <v>78</v>
      </c>
      <c r="L25" s="5" t="str">
        <f>IF(J25="A",G25,IF(J25="B",H25,IF(J25="C",I25,"")))</f>
        <v>ChatGPT</v>
      </c>
      <c r="M25" s="5">
        <f>IF(L25=D25,1,0)</f>
        <v>0</v>
      </c>
      <c r="N25" s="12" t="s">
        <v>104</v>
      </c>
    </row>
    <row r="26" spans="1:14" ht="15" customHeight="1">
      <c r="A26" s="5" t="s">
        <v>105</v>
      </c>
      <c r="B26" s="5" t="s">
        <v>106</v>
      </c>
      <c r="C26" s="5" t="s">
        <v>107</v>
      </c>
      <c r="D26" s="5" t="s">
        <v>43</v>
      </c>
      <c r="E26" s="5" t="s">
        <v>44</v>
      </c>
      <c r="F26" s="6" t="s">
        <v>45</v>
      </c>
      <c r="G26" s="5" t="s">
        <v>43</v>
      </c>
      <c r="H26" s="5" t="s">
        <v>46</v>
      </c>
      <c r="I26" s="5" t="s">
        <v>47</v>
      </c>
      <c r="J26" s="6" t="s">
        <v>48</v>
      </c>
      <c r="K26" s="6">
        <v>78</v>
      </c>
      <c r="L26" s="5" t="str">
        <f>IF(J26="A",G26,IF(J26="B",H26,IF(J26="C",I26,"")))</f>
        <v>Claude</v>
      </c>
      <c r="M26" s="5">
        <f>IF(L26=D26,1,0)</f>
        <v>1</v>
      </c>
      <c r="N26" s="12" t="s">
        <v>108</v>
      </c>
    </row>
    <row r="27" spans="1:14" ht="15" customHeight="1">
      <c r="A27" s="5" t="s">
        <v>109</v>
      </c>
      <c r="B27" s="5" t="s">
        <v>106</v>
      </c>
      <c r="C27" s="5" t="s">
        <v>107</v>
      </c>
      <c r="D27" s="5" t="s">
        <v>43</v>
      </c>
      <c r="E27" s="5" t="s">
        <v>51</v>
      </c>
      <c r="F27" s="6" t="s">
        <v>45</v>
      </c>
      <c r="G27" s="5" t="s">
        <v>43</v>
      </c>
      <c r="H27" s="5" t="s">
        <v>46</v>
      </c>
      <c r="I27" s="5" t="s">
        <v>47</v>
      </c>
      <c r="J27" s="6" t="s">
        <v>48</v>
      </c>
      <c r="K27" s="6">
        <v>70</v>
      </c>
      <c r="L27" s="5" t="str">
        <f>IF(J27="A",G27,IF(J27="B",H27,IF(J27="C",I27,"")))</f>
        <v>Claude</v>
      </c>
      <c r="M27" s="5">
        <f>IF(L27=D27,1,0)</f>
        <v>1</v>
      </c>
      <c r="N27" s="12" t="s">
        <v>110</v>
      </c>
    </row>
    <row r="28" spans="1:14" ht="15" customHeight="1">
      <c r="A28" s="5" t="s">
        <v>111</v>
      </c>
      <c r="B28" s="5" t="s">
        <v>106</v>
      </c>
      <c r="C28" s="5" t="s">
        <v>107</v>
      </c>
      <c r="D28" s="5" t="s">
        <v>46</v>
      </c>
      <c r="E28" s="5" t="s">
        <v>44</v>
      </c>
      <c r="F28" s="6" t="s">
        <v>45</v>
      </c>
      <c r="G28" s="5" t="s">
        <v>46</v>
      </c>
      <c r="H28" s="5" t="s">
        <v>43</v>
      </c>
      <c r="I28" s="5" t="s">
        <v>47</v>
      </c>
      <c r="J28" s="6" t="s">
        <v>48</v>
      </c>
      <c r="K28" s="6">
        <v>75</v>
      </c>
      <c r="L28" s="5" t="str">
        <f>IF(J28="A",G28,IF(J28="B",H28,IF(J28="C",I28,"")))</f>
        <v>ChatGPT</v>
      </c>
      <c r="M28" s="5">
        <f>IF(L28=D28,1,0)</f>
        <v>1</v>
      </c>
      <c r="N28" s="12" t="s">
        <v>112</v>
      </c>
    </row>
    <row r="29" spans="1:14" ht="15" customHeight="1">
      <c r="A29" s="5" t="s">
        <v>113</v>
      </c>
      <c r="B29" s="5" t="s">
        <v>106</v>
      </c>
      <c r="C29" s="5" t="s">
        <v>107</v>
      </c>
      <c r="D29" s="5" t="s">
        <v>46</v>
      </c>
      <c r="E29" s="5" t="s">
        <v>51</v>
      </c>
      <c r="F29" s="6" t="s">
        <v>45</v>
      </c>
      <c r="G29" s="5" t="s">
        <v>46</v>
      </c>
      <c r="H29" s="5" t="s">
        <v>43</v>
      </c>
      <c r="I29" s="5" t="s">
        <v>47</v>
      </c>
      <c r="J29" s="6" t="s">
        <v>48</v>
      </c>
      <c r="K29" s="6">
        <v>85</v>
      </c>
      <c r="L29" s="5" t="str">
        <f>IF(J29="A",G29,IF(J29="B",H29,IF(J29="C",I29,"")))</f>
        <v>ChatGPT</v>
      </c>
      <c r="M29" s="5">
        <f>IF(L29=D29,1,0)</f>
        <v>1</v>
      </c>
      <c r="N29" s="12" t="s">
        <v>114</v>
      </c>
    </row>
    <row r="30" spans="1:14" ht="15" customHeight="1">
      <c r="A30" s="5" t="s">
        <v>115</v>
      </c>
      <c r="B30" s="5" t="s">
        <v>106</v>
      </c>
      <c r="C30" s="5" t="s">
        <v>107</v>
      </c>
      <c r="D30" s="5" t="s">
        <v>47</v>
      </c>
      <c r="E30" s="5" t="s">
        <v>44</v>
      </c>
      <c r="F30" s="6" t="s">
        <v>45</v>
      </c>
      <c r="G30" s="5" t="s">
        <v>46</v>
      </c>
      <c r="H30" s="5" t="s">
        <v>47</v>
      </c>
      <c r="I30" s="5" t="s">
        <v>43</v>
      </c>
      <c r="J30" s="6" t="s">
        <v>52</v>
      </c>
      <c r="K30" s="6">
        <v>80</v>
      </c>
      <c r="L30" s="5" t="str">
        <f>IF(J30="A",G30,IF(J30="B",H30,IF(J30="C",I30,"")))</f>
        <v>Gemini</v>
      </c>
      <c r="M30" s="5">
        <f>IF(L30=D30,1,0)</f>
        <v>1</v>
      </c>
      <c r="N30" s="12" t="s">
        <v>116</v>
      </c>
    </row>
    <row r="31" spans="1:14" ht="15" customHeight="1">
      <c r="A31" s="5" t="s">
        <v>117</v>
      </c>
      <c r="B31" s="5" t="s">
        <v>106</v>
      </c>
      <c r="C31" s="5" t="s">
        <v>107</v>
      </c>
      <c r="D31" s="5" t="s">
        <v>47</v>
      </c>
      <c r="E31" s="5" t="s">
        <v>51</v>
      </c>
      <c r="F31" s="6" t="s">
        <v>45</v>
      </c>
      <c r="G31" s="5" t="s">
        <v>47</v>
      </c>
      <c r="H31" s="5" t="s">
        <v>43</v>
      </c>
      <c r="I31" s="5" t="s">
        <v>46</v>
      </c>
      <c r="J31" s="6" t="s">
        <v>52</v>
      </c>
      <c r="K31" s="6">
        <v>85</v>
      </c>
      <c r="L31" s="5" t="str">
        <f>IF(J31="A",G31,IF(J31="B",H31,IF(J31="C",I31,"")))</f>
        <v>Claude</v>
      </c>
      <c r="M31" s="5">
        <f>IF(L31=D31,1,0)</f>
        <v>0</v>
      </c>
      <c r="N31" s="12" t="s">
        <v>118</v>
      </c>
    </row>
    <row r="32" spans="1:14" ht="15" customHeight="1">
      <c r="A32" s="5" t="s">
        <v>119</v>
      </c>
      <c r="B32" s="5" t="s">
        <v>120</v>
      </c>
      <c r="C32" s="5" t="s">
        <v>121</v>
      </c>
      <c r="D32" s="5" t="s">
        <v>43</v>
      </c>
      <c r="E32" s="5" t="s">
        <v>44</v>
      </c>
      <c r="F32" s="6" t="s">
        <v>45</v>
      </c>
      <c r="G32" s="5" t="s">
        <v>46</v>
      </c>
      <c r="H32" s="5" t="s">
        <v>47</v>
      </c>
      <c r="I32" s="5" t="s">
        <v>43</v>
      </c>
      <c r="J32" s="6" t="s">
        <v>48</v>
      </c>
      <c r="K32" s="6">
        <v>75</v>
      </c>
      <c r="L32" s="5" t="str">
        <f>IF(J32="A",G32,IF(J32="B",H32,IF(J32="C",I32,"")))</f>
        <v>ChatGPT</v>
      </c>
      <c r="M32" s="5">
        <f>IF(L32=D32,1,0)</f>
        <v>0</v>
      </c>
      <c r="N32" s="12" t="s">
        <v>122</v>
      </c>
    </row>
    <row r="33" spans="1:14" ht="15" customHeight="1">
      <c r="A33" s="5" t="s">
        <v>123</v>
      </c>
      <c r="B33" s="5" t="s">
        <v>120</v>
      </c>
      <c r="C33" s="5" t="s">
        <v>121</v>
      </c>
      <c r="D33" s="5" t="s">
        <v>43</v>
      </c>
      <c r="E33" s="5" t="s">
        <v>51</v>
      </c>
      <c r="F33" s="6" t="s">
        <v>45</v>
      </c>
      <c r="G33" s="5" t="s">
        <v>43</v>
      </c>
      <c r="H33" s="5" t="s">
        <v>47</v>
      </c>
      <c r="I33" s="5" t="s">
        <v>46</v>
      </c>
      <c r="J33" s="6" t="s">
        <v>71</v>
      </c>
      <c r="K33" s="6">
        <v>85</v>
      </c>
      <c r="L33" s="5" t="str">
        <f>IF(J33="A",G33,IF(J33="B",H33,IF(J33="C",I33,"")))</f>
        <v>ChatGPT</v>
      </c>
      <c r="M33" s="5">
        <f>IF(L33=D33,1,0)</f>
        <v>0</v>
      </c>
      <c r="N33" s="12" t="s">
        <v>124</v>
      </c>
    </row>
    <row r="34" spans="1:14" ht="15" customHeight="1">
      <c r="A34" s="5" t="s">
        <v>125</v>
      </c>
      <c r="B34" s="5" t="s">
        <v>120</v>
      </c>
      <c r="C34" s="5" t="s">
        <v>121</v>
      </c>
      <c r="D34" s="5" t="s">
        <v>46</v>
      </c>
      <c r="E34" s="5" t="s">
        <v>44</v>
      </c>
      <c r="F34" s="6" t="s">
        <v>45</v>
      </c>
      <c r="G34" s="5" t="s">
        <v>43</v>
      </c>
      <c r="H34" s="5" t="s">
        <v>47</v>
      </c>
      <c r="I34" s="5" t="s">
        <v>46</v>
      </c>
      <c r="J34" s="6" t="s">
        <v>71</v>
      </c>
      <c r="K34" s="6">
        <v>75</v>
      </c>
      <c r="L34" s="5" t="str">
        <f>IF(J34="A",G34,IF(J34="B",H34,IF(J34="C",I34,"")))</f>
        <v>ChatGPT</v>
      </c>
      <c r="M34" s="5">
        <f>IF(L34=D34,1,0)</f>
        <v>1</v>
      </c>
      <c r="N34" s="12" t="s">
        <v>126</v>
      </c>
    </row>
    <row r="35" spans="1:14" ht="15" customHeight="1">
      <c r="A35" s="5" t="s">
        <v>127</v>
      </c>
      <c r="B35" s="5" t="s">
        <v>120</v>
      </c>
      <c r="C35" s="5" t="s">
        <v>121</v>
      </c>
      <c r="D35" s="5" t="s">
        <v>46</v>
      </c>
      <c r="E35" s="5" t="s">
        <v>51</v>
      </c>
      <c r="F35" s="6" t="s">
        <v>45</v>
      </c>
      <c r="G35" s="5" t="s">
        <v>47</v>
      </c>
      <c r="H35" s="5" t="s">
        <v>46</v>
      </c>
      <c r="I35" s="5" t="s">
        <v>43</v>
      </c>
      <c r="J35" s="6" t="s">
        <v>52</v>
      </c>
      <c r="K35" s="6">
        <v>75</v>
      </c>
      <c r="L35" s="5" t="str">
        <f>IF(J35="A",G35,IF(J35="B",H35,IF(J35="C",I35,"")))</f>
        <v>ChatGPT</v>
      </c>
      <c r="M35" s="5">
        <f>IF(L35=D35,1,0)</f>
        <v>1</v>
      </c>
      <c r="N35" s="12" t="s">
        <v>128</v>
      </c>
    </row>
    <row r="36" spans="1:14" ht="15" customHeight="1">
      <c r="A36" s="5" t="s">
        <v>129</v>
      </c>
      <c r="B36" s="5" t="s">
        <v>120</v>
      </c>
      <c r="C36" s="5" t="s">
        <v>121</v>
      </c>
      <c r="D36" s="5" t="s">
        <v>47</v>
      </c>
      <c r="E36" s="5" t="s">
        <v>44</v>
      </c>
      <c r="F36" s="6" t="s">
        <v>45</v>
      </c>
      <c r="G36" s="5" t="s">
        <v>47</v>
      </c>
      <c r="H36" s="5" t="s">
        <v>43</v>
      </c>
      <c r="I36" s="5" t="s">
        <v>46</v>
      </c>
      <c r="J36" s="6" t="s">
        <v>71</v>
      </c>
      <c r="K36" s="6">
        <v>80</v>
      </c>
      <c r="L36" s="5" t="str">
        <f>IF(J36="A",G36,IF(J36="B",H36,IF(J36="C",I36,"")))</f>
        <v>ChatGPT</v>
      </c>
      <c r="M36" s="5">
        <f>IF(L36=D36,1,0)</f>
        <v>0</v>
      </c>
      <c r="N36" s="12" t="s">
        <v>130</v>
      </c>
    </row>
    <row r="37" spans="1:14" ht="15" customHeight="1">
      <c r="A37" s="5" t="s">
        <v>131</v>
      </c>
      <c r="B37" s="5" t="s">
        <v>120</v>
      </c>
      <c r="C37" s="5" t="s">
        <v>121</v>
      </c>
      <c r="D37" s="5" t="s">
        <v>47</v>
      </c>
      <c r="E37" s="5" t="s">
        <v>51</v>
      </c>
      <c r="F37" s="6" t="s">
        <v>45</v>
      </c>
      <c r="G37" s="5" t="s">
        <v>43</v>
      </c>
      <c r="H37" s="5" t="s">
        <v>46</v>
      </c>
      <c r="I37" s="5" t="s">
        <v>47</v>
      </c>
      <c r="J37" s="6" t="s">
        <v>48</v>
      </c>
      <c r="K37" s="6">
        <v>85</v>
      </c>
      <c r="L37" s="5" t="str">
        <f>IF(J37="A",G37,IF(J37="B",H37,IF(J37="C",I37,"")))</f>
        <v>Claude</v>
      </c>
      <c r="M37" s="5">
        <f>IF(L37=D37,1,0)</f>
        <v>0</v>
      </c>
      <c r="N37" s="12" t="s">
        <v>132</v>
      </c>
    </row>
    <row r="38" spans="1:14" ht="15" customHeight="1">
      <c r="A38" s="5" t="s">
        <v>133</v>
      </c>
      <c r="B38" s="5" t="s">
        <v>134</v>
      </c>
      <c r="C38" s="5" t="s">
        <v>135</v>
      </c>
      <c r="D38" s="5" t="s">
        <v>43</v>
      </c>
      <c r="E38" s="5" t="s">
        <v>44</v>
      </c>
      <c r="F38" s="6" t="s">
        <v>45</v>
      </c>
      <c r="G38" s="5" t="s">
        <v>46</v>
      </c>
      <c r="H38" s="5" t="s">
        <v>43</v>
      </c>
      <c r="I38" s="5" t="s">
        <v>47</v>
      </c>
      <c r="J38" s="6" t="s">
        <v>48</v>
      </c>
      <c r="K38" s="6">
        <v>80</v>
      </c>
      <c r="L38" s="5" t="str">
        <f>IF(J38="A",G38,IF(J38="B",H38,IF(J38="C",I38,"")))</f>
        <v>ChatGPT</v>
      </c>
      <c r="M38" s="5">
        <f>IF(L38=D38,1,0)</f>
        <v>0</v>
      </c>
      <c r="N38" s="12" t="s">
        <v>136</v>
      </c>
    </row>
    <row r="39" spans="1:14" ht="15" customHeight="1">
      <c r="A39" s="5" t="s">
        <v>137</v>
      </c>
      <c r="B39" s="5" t="s">
        <v>134</v>
      </c>
      <c r="C39" s="5" t="s">
        <v>135</v>
      </c>
      <c r="D39" s="5" t="s">
        <v>43</v>
      </c>
      <c r="E39" s="5" t="s">
        <v>51</v>
      </c>
      <c r="F39" s="6" t="s">
        <v>45</v>
      </c>
      <c r="G39" s="5" t="s">
        <v>46</v>
      </c>
      <c r="H39" s="5" t="s">
        <v>43</v>
      </c>
      <c r="I39" s="5" t="s">
        <v>47</v>
      </c>
      <c r="J39" s="6" t="s">
        <v>52</v>
      </c>
      <c r="K39" s="6">
        <v>75</v>
      </c>
      <c r="L39" s="5" t="str">
        <f>IF(J39="A",G39,IF(J39="B",H39,IF(J39="C",I39,"")))</f>
        <v>Claude</v>
      </c>
      <c r="M39" s="5">
        <f>IF(L39=D39,1,0)</f>
        <v>1</v>
      </c>
      <c r="N39" s="12" t="s">
        <v>138</v>
      </c>
    </row>
    <row r="40" spans="1:14" ht="15" customHeight="1">
      <c r="A40" s="5" t="s">
        <v>139</v>
      </c>
      <c r="B40" s="5" t="s">
        <v>134</v>
      </c>
      <c r="C40" s="5" t="s">
        <v>135</v>
      </c>
      <c r="D40" s="5" t="s">
        <v>46</v>
      </c>
      <c r="E40" s="5" t="s">
        <v>44</v>
      </c>
      <c r="F40" s="6" t="s">
        <v>45</v>
      </c>
      <c r="G40" s="5" t="s">
        <v>46</v>
      </c>
      <c r="H40" s="5" t="s">
        <v>43</v>
      </c>
      <c r="I40" s="5" t="s">
        <v>47</v>
      </c>
      <c r="J40" s="6" t="s">
        <v>48</v>
      </c>
      <c r="K40" s="6">
        <v>72</v>
      </c>
      <c r="L40" s="5" t="str">
        <f>IF(J40="A",G40,IF(J40="B",H40,IF(J40="C",I40,"")))</f>
        <v>ChatGPT</v>
      </c>
      <c r="M40" s="5">
        <f>IF(L40=D40,1,0)</f>
        <v>1</v>
      </c>
      <c r="N40" s="12" t="s">
        <v>140</v>
      </c>
    </row>
    <row r="41" spans="1:14" ht="15" customHeight="1">
      <c r="A41" s="5" t="s">
        <v>141</v>
      </c>
      <c r="B41" s="5" t="s">
        <v>134</v>
      </c>
      <c r="C41" s="5" t="s">
        <v>135</v>
      </c>
      <c r="D41" s="5" t="s">
        <v>46</v>
      </c>
      <c r="E41" s="5" t="s">
        <v>51</v>
      </c>
      <c r="F41" s="6" t="s">
        <v>45</v>
      </c>
      <c r="G41" s="5" t="s">
        <v>47</v>
      </c>
      <c r="H41" s="5" t="s">
        <v>46</v>
      </c>
      <c r="I41" s="5" t="s">
        <v>43</v>
      </c>
      <c r="J41" s="6" t="s">
        <v>71</v>
      </c>
      <c r="K41" s="6">
        <v>75</v>
      </c>
      <c r="L41" s="5" t="str">
        <f>IF(J41="A",G41,IF(J41="B",H41,IF(J41="C",I41,"")))</f>
        <v>Claude</v>
      </c>
      <c r="M41" s="5">
        <f>IF(L41=D41,1,0)</f>
        <v>0</v>
      </c>
      <c r="N41" s="12" t="s">
        <v>142</v>
      </c>
    </row>
    <row r="42" spans="1:14" ht="15" customHeight="1">
      <c r="A42" s="5" t="s">
        <v>143</v>
      </c>
      <c r="B42" s="5" t="s">
        <v>134</v>
      </c>
      <c r="C42" s="5" t="s">
        <v>135</v>
      </c>
      <c r="D42" s="5" t="s">
        <v>47</v>
      </c>
      <c r="E42" s="5" t="s">
        <v>44</v>
      </c>
      <c r="F42" s="6" t="s">
        <v>45</v>
      </c>
      <c r="G42" s="5" t="s">
        <v>43</v>
      </c>
      <c r="H42" s="5" t="s">
        <v>47</v>
      </c>
      <c r="I42" s="5" t="s">
        <v>46</v>
      </c>
      <c r="J42" s="6" t="s">
        <v>71</v>
      </c>
      <c r="K42" s="6">
        <v>75</v>
      </c>
      <c r="L42" s="5" t="str">
        <f>IF(J42="A",G42,IF(J42="B",H42,IF(J42="C",I42,"")))</f>
        <v>ChatGPT</v>
      </c>
      <c r="M42" s="5">
        <f>IF(L42=D42,1,0)</f>
        <v>0</v>
      </c>
      <c r="N42" s="12" t="s">
        <v>144</v>
      </c>
    </row>
    <row r="43" spans="1:14" ht="15" customHeight="1">
      <c r="A43" s="5" t="s">
        <v>145</v>
      </c>
      <c r="B43" s="5" t="s">
        <v>134</v>
      </c>
      <c r="C43" s="5" t="s">
        <v>135</v>
      </c>
      <c r="D43" s="5" t="s">
        <v>47</v>
      </c>
      <c r="E43" s="5" t="s">
        <v>51</v>
      </c>
      <c r="F43" s="6" t="s">
        <v>45</v>
      </c>
      <c r="G43" s="5" t="s">
        <v>46</v>
      </c>
      <c r="H43" s="5" t="s">
        <v>43</v>
      </c>
      <c r="I43" s="5" t="s">
        <v>47</v>
      </c>
      <c r="J43" s="6" t="s">
        <v>48</v>
      </c>
      <c r="K43" s="6">
        <v>80</v>
      </c>
      <c r="L43" s="5" t="str">
        <f>IF(J43="A",G43,IF(J43="B",H43,IF(J43="C",I43,"")))</f>
        <v>ChatGPT</v>
      </c>
      <c r="M43" s="5">
        <f>IF(L43=D43,1,0)</f>
        <v>0</v>
      </c>
      <c r="N43" s="12" t="s">
        <v>146</v>
      </c>
    </row>
    <row r="44" spans="1:14" ht="15" customHeight="1">
      <c r="A44" s="5" t="s">
        <v>147</v>
      </c>
      <c r="B44" s="5" t="s">
        <v>148</v>
      </c>
      <c r="C44" s="5" t="s">
        <v>149</v>
      </c>
      <c r="D44" s="5" t="s">
        <v>43</v>
      </c>
      <c r="E44" s="5" t="s">
        <v>44</v>
      </c>
      <c r="F44" s="6" t="s">
        <v>45</v>
      </c>
      <c r="G44" s="5" t="s">
        <v>43</v>
      </c>
      <c r="H44" s="5" t="s">
        <v>46</v>
      </c>
      <c r="I44" s="5" t="s">
        <v>47</v>
      </c>
      <c r="J44" s="6" t="s">
        <v>52</v>
      </c>
      <c r="K44" s="6">
        <v>85</v>
      </c>
      <c r="L44" s="5" t="str">
        <f>IF(J44="A",G44,IF(J44="B",H44,IF(J44="C",I44,"")))</f>
        <v>ChatGPT</v>
      </c>
      <c r="M44" s="5">
        <f>IF(L44=D44,1,0)</f>
        <v>0</v>
      </c>
      <c r="N44" s="12" t="s">
        <v>150</v>
      </c>
    </row>
    <row r="45" spans="1:14" ht="15" customHeight="1">
      <c r="A45" s="5" t="s">
        <v>151</v>
      </c>
      <c r="B45" s="5" t="s">
        <v>148</v>
      </c>
      <c r="C45" s="5" t="s">
        <v>149</v>
      </c>
      <c r="D45" s="5" t="s">
        <v>43</v>
      </c>
      <c r="E45" s="5" t="s">
        <v>51</v>
      </c>
      <c r="F45" s="6" t="s">
        <v>45</v>
      </c>
      <c r="G45" s="5" t="s">
        <v>46</v>
      </c>
      <c r="H45" s="5" t="s">
        <v>47</v>
      </c>
      <c r="I45" s="5" t="s">
        <v>43</v>
      </c>
      <c r="J45" s="6" t="s">
        <v>71</v>
      </c>
      <c r="K45" s="6">
        <v>85</v>
      </c>
      <c r="L45" s="5" t="str">
        <f>IF(J45="A",G45,IF(J45="B",H45,IF(J45="C",I45,"")))</f>
        <v>Claude</v>
      </c>
      <c r="M45" s="5">
        <f>IF(L45=D45,1,0)</f>
        <v>1</v>
      </c>
      <c r="N45" s="12" t="s">
        <v>152</v>
      </c>
    </row>
    <row r="46" spans="1:14" ht="15" customHeight="1">
      <c r="A46" s="5" t="s">
        <v>153</v>
      </c>
      <c r="B46" s="5" t="s">
        <v>148</v>
      </c>
      <c r="C46" s="5" t="s">
        <v>149</v>
      </c>
      <c r="D46" s="5" t="s">
        <v>46</v>
      </c>
      <c r="E46" s="5" t="s">
        <v>44</v>
      </c>
      <c r="F46" s="6" t="s">
        <v>45</v>
      </c>
      <c r="G46" s="5" t="s">
        <v>47</v>
      </c>
      <c r="H46" s="5" t="s">
        <v>46</v>
      </c>
      <c r="I46" s="5" t="s">
        <v>43</v>
      </c>
      <c r="J46" s="6" t="s">
        <v>52</v>
      </c>
      <c r="K46" s="6">
        <v>78</v>
      </c>
      <c r="L46" s="5" t="str">
        <f>IF(J46="A",G46,IF(J46="B",H46,IF(J46="C",I46,"")))</f>
        <v>ChatGPT</v>
      </c>
      <c r="M46" s="5">
        <f>IF(L46=D46,1,0)</f>
        <v>1</v>
      </c>
      <c r="N46" s="12" t="s">
        <v>154</v>
      </c>
    </row>
    <row r="47" spans="1:14" ht="15" customHeight="1">
      <c r="A47" s="5" t="s">
        <v>155</v>
      </c>
      <c r="B47" s="5" t="s">
        <v>148</v>
      </c>
      <c r="C47" s="5" t="s">
        <v>149</v>
      </c>
      <c r="D47" s="5" t="s">
        <v>46</v>
      </c>
      <c r="E47" s="5" t="s">
        <v>51</v>
      </c>
      <c r="F47" s="6" t="s">
        <v>45</v>
      </c>
      <c r="G47" s="5" t="s">
        <v>43</v>
      </c>
      <c r="H47" s="5" t="s">
        <v>47</v>
      </c>
      <c r="I47" s="5" t="s">
        <v>46</v>
      </c>
      <c r="J47" s="6" t="s">
        <v>71</v>
      </c>
      <c r="K47" s="6">
        <v>78</v>
      </c>
      <c r="L47" s="5" t="str">
        <f>IF(J47="A",G47,IF(J47="B",H47,IF(J47="C",I47,"")))</f>
        <v>ChatGPT</v>
      </c>
      <c r="M47" s="5">
        <f>IF(L47=D47,1,0)</f>
        <v>1</v>
      </c>
      <c r="N47" s="12" t="s">
        <v>156</v>
      </c>
    </row>
    <row r="48" spans="1:14" ht="15" customHeight="1">
      <c r="A48" s="5" t="s">
        <v>157</v>
      </c>
      <c r="B48" s="5" t="s">
        <v>148</v>
      </c>
      <c r="C48" s="5" t="s">
        <v>149</v>
      </c>
      <c r="D48" s="5" t="s">
        <v>47</v>
      </c>
      <c r="E48" s="5" t="s">
        <v>44</v>
      </c>
      <c r="F48" s="6" t="s">
        <v>45</v>
      </c>
      <c r="G48" s="5" t="s">
        <v>46</v>
      </c>
      <c r="H48" s="5" t="s">
        <v>47</v>
      </c>
      <c r="I48" s="5" t="s">
        <v>43</v>
      </c>
      <c r="J48" s="6" t="s">
        <v>48</v>
      </c>
      <c r="K48" s="6">
        <v>80</v>
      </c>
      <c r="L48" s="5" t="str">
        <f>IF(J48="A",G48,IF(J48="B",H48,IF(J48="C",I48,"")))</f>
        <v>ChatGPT</v>
      </c>
      <c r="M48" s="5">
        <f>IF(L48=D48,1,0)</f>
        <v>0</v>
      </c>
      <c r="N48" s="12" t="s">
        <v>158</v>
      </c>
    </row>
    <row r="49" spans="1:14" ht="15" customHeight="1">
      <c r="A49" s="5" t="s">
        <v>159</v>
      </c>
      <c r="B49" s="5" t="s">
        <v>148</v>
      </c>
      <c r="C49" s="5" t="s">
        <v>149</v>
      </c>
      <c r="D49" s="5" t="s">
        <v>47</v>
      </c>
      <c r="E49" s="5" t="s">
        <v>51</v>
      </c>
      <c r="F49" s="6" t="s">
        <v>45</v>
      </c>
      <c r="G49" s="5" t="s">
        <v>43</v>
      </c>
      <c r="H49" s="5" t="s">
        <v>46</v>
      </c>
      <c r="I49" s="5" t="s">
        <v>47</v>
      </c>
      <c r="J49" s="6" t="s">
        <v>48</v>
      </c>
      <c r="K49" s="6">
        <v>78</v>
      </c>
      <c r="L49" s="5" t="str">
        <f>IF(J49="A",G49,IF(J49="B",H49,IF(J49="C",I49,"")))</f>
        <v>Claude</v>
      </c>
      <c r="M49" s="5">
        <f>IF(L49=D49,1,0)</f>
        <v>0</v>
      </c>
      <c r="N49" s="12" t="s">
        <v>160</v>
      </c>
    </row>
    <row r="50" spans="1:14" ht="15" customHeight="1">
      <c r="A50" s="5" t="s">
        <v>161</v>
      </c>
      <c r="B50" s="5" t="s">
        <v>162</v>
      </c>
      <c r="C50" s="5" t="s">
        <v>163</v>
      </c>
      <c r="D50" s="5" t="s">
        <v>43</v>
      </c>
      <c r="E50" s="5" t="s">
        <v>44</v>
      </c>
      <c r="F50" s="6" t="s">
        <v>45</v>
      </c>
      <c r="G50" s="5" t="s">
        <v>47</v>
      </c>
      <c r="H50" s="5" t="s">
        <v>46</v>
      </c>
      <c r="I50" s="5" t="s">
        <v>43</v>
      </c>
      <c r="J50" s="6" t="s">
        <v>71</v>
      </c>
      <c r="K50" s="6">
        <v>75</v>
      </c>
      <c r="L50" s="5" t="str">
        <f>IF(J50="A",G50,IF(J50="B",H50,IF(J50="C",I50,"")))</f>
        <v>Claude</v>
      </c>
      <c r="M50" s="5">
        <f>IF(L50=D50,1,0)</f>
        <v>1</v>
      </c>
      <c r="N50" s="12" t="s">
        <v>164</v>
      </c>
    </row>
    <row r="51" spans="1:14" ht="15" customHeight="1">
      <c r="A51" s="5" t="s">
        <v>165</v>
      </c>
      <c r="B51" s="5" t="s">
        <v>162</v>
      </c>
      <c r="C51" s="5" t="s">
        <v>163</v>
      </c>
      <c r="D51" s="5" t="s">
        <v>43</v>
      </c>
      <c r="E51" s="5" t="s">
        <v>51</v>
      </c>
      <c r="F51" s="6" t="s">
        <v>45</v>
      </c>
      <c r="G51" s="5" t="s">
        <v>43</v>
      </c>
      <c r="H51" s="5" t="s">
        <v>47</v>
      </c>
      <c r="I51" s="5" t="s">
        <v>46</v>
      </c>
      <c r="J51" s="6" t="s">
        <v>48</v>
      </c>
      <c r="K51" s="6">
        <v>85</v>
      </c>
      <c r="L51" s="5" t="str">
        <f>IF(J51="A",G51,IF(J51="B",H51,IF(J51="C",I51,"")))</f>
        <v>Claude</v>
      </c>
      <c r="M51" s="5">
        <f>IF(L51=D51,1,0)</f>
        <v>1</v>
      </c>
      <c r="N51" s="12" t="s">
        <v>166</v>
      </c>
    </row>
    <row r="52" spans="1:14" ht="15" customHeight="1">
      <c r="A52" s="5" t="s">
        <v>167</v>
      </c>
      <c r="B52" s="5" t="s">
        <v>162</v>
      </c>
      <c r="C52" s="5" t="s">
        <v>163</v>
      </c>
      <c r="D52" s="5" t="s">
        <v>46</v>
      </c>
      <c r="E52" s="5" t="s">
        <v>44</v>
      </c>
      <c r="F52" s="6" t="s">
        <v>45</v>
      </c>
      <c r="G52" s="5" t="s">
        <v>47</v>
      </c>
      <c r="H52" s="5" t="s">
        <v>46</v>
      </c>
      <c r="I52" s="5" t="s">
        <v>43</v>
      </c>
      <c r="J52" s="6" t="s">
        <v>52</v>
      </c>
      <c r="K52" s="6">
        <v>78</v>
      </c>
      <c r="L52" s="5" t="str">
        <f>IF(J52="A",G52,IF(J52="B",H52,IF(J52="C",I52,"")))</f>
        <v>ChatGPT</v>
      </c>
      <c r="M52" s="5">
        <f>IF(L52=D52,1,0)</f>
        <v>1</v>
      </c>
      <c r="N52" s="12" t="s">
        <v>168</v>
      </c>
    </row>
    <row r="53" spans="1:14" ht="15" customHeight="1">
      <c r="A53" s="5" t="s">
        <v>169</v>
      </c>
      <c r="B53" s="5" t="s">
        <v>162</v>
      </c>
      <c r="C53" s="5" t="s">
        <v>163</v>
      </c>
      <c r="D53" s="5" t="s">
        <v>46</v>
      </c>
      <c r="E53" s="5" t="s">
        <v>51</v>
      </c>
      <c r="F53" s="6" t="s">
        <v>45</v>
      </c>
      <c r="G53" s="5" t="s">
        <v>46</v>
      </c>
      <c r="H53" s="5" t="s">
        <v>47</v>
      </c>
      <c r="I53" s="5" t="s">
        <v>43</v>
      </c>
      <c r="J53" s="6" t="s">
        <v>48</v>
      </c>
      <c r="K53" s="6">
        <v>85</v>
      </c>
      <c r="L53" s="5" t="str">
        <f>IF(J53="A",G53,IF(J53="B",H53,IF(J53="C",I53,"")))</f>
        <v>ChatGPT</v>
      </c>
      <c r="M53" s="5">
        <f>IF(L53=D53,1,0)</f>
        <v>1</v>
      </c>
      <c r="N53" s="12" t="s">
        <v>170</v>
      </c>
    </row>
    <row r="54" spans="1:14" ht="15" customHeight="1">
      <c r="A54" s="5" t="s">
        <v>171</v>
      </c>
      <c r="B54" s="5" t="s">
        <v>162</v>
      </c>
      <c r="C54" s="5" t="s">
        <v>163</v>
      </c>
      <c r="D54" s="5" t="s">
        <v>47</v>
      </c>
      <c r="E54" s="5" t="s">
        <v>44</v>
      </c>
      <c r="F54" s="6" t="s">
        <v>45</v>
      </c>
      <c r="G54" s="5" t="s">
        <v>43</v>
      </c>
      <c r="H54" s="5" t="s">
        <v>46</v>
      </c>
      <c r="I54" s="5" t="s">
        <v>47</v>
      </c>
      <c r="J54" s="6" t="s">
        <v>48</v>
      </c>
      <c r="K54" s="6">
        <v>82</v>
      </c>
      <c r="L54" s="5" t="str">
        <f>IF(J54="A",G54,IF(J54="B",H54,IF(J54="C",I54,"")))</f>
        <v>Claude</v>
      </c>
      <c r="M54" s="5">
        <f>IF(L54=D54,1,0)</f>
        <v>0</v>
      </c>
      <c r="N54" s="12" t="s">
        <v>172</v>
      </c>
    </row>
    <row r="55" spans="1:14" ht="15" customHeight="1">
      <c r="A55" s="5" t="s">
        <v>173</v>
      </c>
      <c r="B55" s="5" t="s">
        <v>162</v>
      </c>
      <c r="C55" s="5" t="s">
        <v>163</v>
      </c>
      <c r="D55" s="5" t="s">
        <v>47</v>
      </c>
      <c r="E55" s="5" t="s">
        <v>51</v>
      </c>
      <c r="F55" s="6" t="s">
        <v>45</v>
      </c>
      <c r="G55" s="5" t="s">
        <v>43</v>
      </c>
      <c r="H55" s="5" t="s">
        <v>46</v>
      </c>
      <c r="I55" s="5" t="s">
        <v>47</v>
      </c>
      <c r="J55" s="6" t="s">
        <v>52</v>
      </c>
      <c r="K55" s="6">
        <v>82</v>
      </c>
      <c r="L55" s="5" t="str">
        <f>IF(J55="A",G55,IF(J55="B",H55,IF(J55="C",I55,"")))</f>
        <v>ChatGPT</v>
      </c>
      <c r="M55" s="5">
        <f>IF(L55=D55,1,0)</f>
        <v>0</v>
      </c>
      <c r="N55" s="12" t="s">
        <v>174</v>
      </c>
    </row>
    <row r="56" spans="1:14" ht="15" customHeight="1">
      <c r="A56" s="5" t="s">
        <v>175</v>
      </c>
      <c r="B56" s="5" t="s">
        <v>176</v>
      </c>
      <c r="C56" s="5" t="s">
        <v>177</v>
      </c>
      <c r="D56" s="5" t="s">
        <v>43</v>
      </c>
      <c r="E56" s="5" t="s">
        <v>44</v>
      </c>
      <c r="F56" s="6" t="s">
        <v>45</v>
      </c>
      <c r="G56" s="5" t="s">
        <v>43</v>
      </c>
      <c r="H56" s="5" t="s">
        <v>46</v>
      </c>
      <c r="I56" s="5" t="s">
        <v>47</v>
      </c>
      <c r="J56" s="6" t="s">
        <v>52</v>
      </c>
      <c r="K56" s="6">
        <v>70</v>
      </c>
      <c r="L56" s="5" t="str">
        <f>IF(J56="A",G56,IF(J56="B",H56,IF(J56="C",I56,"")))</f>
        <v>ChatGPT</v>
      </c>
      <c r="M56" s="5">
        <f>IF(L56=D56,1,0)</f>
        <v>0</v>
      </c>
      <c r="N56" s="12" t="s">
        <v>178</v>
      </c>
    </row>
    <row r="57" spans="1:14" ht="15" customHeight="1">
      <c r="A57" s="5" t="s">
        <v>179</v>
      </c>
      <c r="B57" s="5" t="s">
        <v>176</v>
      </c>
      <c r="C57" s="5" t="s">
        <v>177</v>
      </c>
      <c r="D57" s="5" t="s">
        <v>43</v>
      </c>
      <c r="E57" s="5" t="s">
        <v>51</v>
      </c>
      <c r="F57" s="6" t="s">
        <v>45</v>
      </c>
      <c r="G57" s="5" t="s">
        <v>47</v>
      </c>
      <c r="H57" s="5" t="s">
        <v>43</v>
      </c>
      <c r="I57" s="5" t="s">
        <v>46</v>
      </c>
      <c r="J57" s="6" t="s">
        <v>52</v>
      </c>
      <c r="K57" s="6">
        <v>75</v>
      </c>
      <c r="L57" s="5" t="str">
        <f>IF(J57="A",G57,IF(J57="B",H57,IF(J57="C",I57,"")))</f>
        <v>Claude</v>
      </c>
      <c r="M57" s="5">
        <f>IF(L57=D57,1,0)</f>
        <v>1</v>
      </c>
      <c r="N57" s="12" t="s">
        <v>180</v>
      </c>
    </row>
    <row r="58" spans="1:14" ht="15" customHeight="1">
      <c r="A58" s="5" t="s">
        <v>181</v>
      </c>
      <c r="B58" s="5" t="s">
        <v>176</v>
      </c>
      <c r="C58" s="5" t="s">
        <v>177</v>
      </c>
      <c r="D58" s="5" t="s">
        <v>46</v>
      </c>
      <c r="E58" s="5" t="s">
        <v>44</v>
      </c>
      <c r="F58" s="6" t="s">
        <v>45</v>
      </c>
      <c r="G58" s="5" t="s">
        <v>47</v>
      </c>
      <c r="H58" s="5" t="s">
        <v>46</v>
      </c>
      <c r="I58" s="5" t="s">
        <v>43</v>
      </c>
      <c r="J58" s="6" t="s">
        <v>52</v>
      </c>
      <c r="K58" s="6">
        <v>75</v>
      </c>
      <c r="L58" s="5" t="str">
        <f>IF(J58="A",G58,IF(J58="B",H58,IF(J58="C",I58,"")))</f>
        <v>ChatGPT</v>
      </c>
      <c r="M58" s="5">
        <f>IF(L58=D58,1,0)</f>
        <v>1</v>
      </c>
      <c r="N58" s="12" t="s">
        <v>182</v>
      </c>
    </row>
    <row r="59" spans="1:14" ht="15" customHeight="1">
      <c r="A59" s="5" t="s">
        <v>183</v>
      </c>
      <c r="B59" s="5" t="s">
        <v>176</v>
      </c>
      <c r="C59" s="5" t="s">
        <v>177</v>
      </c>
      <c r="D59" s="5" t="s">
        <v>46</v>
      </c>
      <c r="E59" s="5" t="s">
        <v>51</v>
      </c>
      <c r="F59" s="6" t="s">
        <v>45</v>
      </c>
      <c r="G59" s="5" t="s">
        <v>46</v>
      </c>
      <c r="H59" s="5" t="s">
        <v>47</v>
      </c>
      <c r="I59" s="5" t="s">
        <v>43</v>
      </c>
      <c r="J59" s="6" t="s">
        <v>48</v>
      </c>
      <c r="K59" s="6">
        <v>70</v>
      </c>
      <c r="L59" s="5" t="str">
        <f>IF(J59="A",G59,IF(J59="B",H59,IF(J59="C",I59,"")))</f>
        <v>ChatGPT</v>
      </c>
      <c r="M59" s="5">
        <f>IF(L59=D59,1,0)</f>
        <v>1</v>
      </c>
      <c r="N59" s="12" t="s">
        <v>184</v>
      </c>
    </row>
    <row r="60" spans="1:14" ht="15" customHeight="1">
      <c r="A60" s="5" t="s">
        <v>185</v>
      </c>
      <c r="B60" s="5" t="s">
        <v>176</v>
      </c>
      <c r="C60" s="5" t="s">
        <v>177</v>
      </c>
      <c r="D60" s="5" t="s">
        <v>47</v>
      </c>
      <c r="E60" s="5" t="s">
        <v>44</v>
      </c>
      <c r="F60" s="6" t="s">
        <v>45</v>
      </c>
      <c r="G60" s="5" t="s">
        <v>46</v>
      </c>
      <c r="H60" s="5" t="s">
        <v>47</v>
      </c>
      <c r="I60" s="5" t="s">
        <v>43</v>
      </c>
      <c r="J60" s="6" t="s">
        <v>48</v>
      </c>
      <c r="K60" s="6">
        <v>80</v>
      </c>
      <c r="L60" s="5" t="str">
        <f>IF(J60="A",G60,IF(J60="B",H60,IF(J60="C",I60,"")))</f>
        <v>ChatGPT</v>
      </c>
      <c r="M60" s="5">
        <f>IF(L60=D60,1,0)</f>
        <v>0</v>
      </c>
      <c r="N60" s="12" t="s">
        <v>186</v>
      </c>
    </row>
    <row r="61" spans="1:14" ht="15" customHeight="1">
      <c r="A61" s="5" t="s">
        <v>187</v>
      </c>
      <c r="B61" s="5" t="s">
        <v>176</v>
      </c>
      <c r="C61" s="5" t="s">
        <v>177</v>
      </c>
      <c r="D61" s="5" t="s">
        <v>47</v>
      </c>
      <c r="E61" s="5" t="s">
        <v>51</v>
      </c>
      <c r="F61" s="6" t="s">
        <v>45</v>
      </c>
      <c r="G61" s="5" t="s">
        <v>46</v>
      </c>
      <c r="H61" s="5" t="s">
        <v>43</v>
      </c>
      <c r="I61" s="5" t="s">
        <v>47</v>
      </c>
      <c r="J61" s="6" t="s">
        <v>48</v>
      </c>
      <c r="K61" s="6">
        <v>75</v>
      </c>
      <c r="L61" s="5" t="str">
        <f>IF(J61="A",G61,IF(J61="B",H61,IF(J61="C",I61,"")))</f>
        <v>ChatGPT</v>
      </c>
      <c r="M61" s="5">
        <f>IF(L61=D61,1,0)</f>
        <v>0</v>
      </c>
      <c r="N61" s="12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zoomScaleNormal="100" workbookViewId="0"/>
  </sheetViews>
  <sheetFormatPr defaultColWidth="8.7109375" defaultRowHeight="15"/>
  <cols>
    <col min="1" max="1" width="30" style="1" customWidth="1"/>
    <col min="2" max="5" width="14" style="1" customWidth="1"/>
  </cols>
  <sheetData>
    <row r="1" spans="1:4" ht="15" customHeight="1">
      <c r="A1" s="7" t="s">
        <v>189</v>
      </c>
    </row>
    <row r="3" spans="1:4" ht="15" customHeight="1">
      <c r="A3" s="5" t="s">
        <v>190</v>
      </c>
      <c r="B3" s="8">
        <v>0.33300000000000002</v>
      </c>
    </row>
    <row r="4" spans="1:4" ht="15" customHeight="1">
      <c r="A4" s="5" t="s">
        <v>191</v>
      </c>
      <c r="B4" s="8">
        <f>COUNTIFS(Data!E2:E61,"original",Data!M2:M61,1)/COUNTIFS(Data!E2:E61,"original")</f>
        <v>0.43333333333333335</v>
      </c>
    </row>
    <row r="5" spans="1:4" ht="15" customHeight="1">
      <c r="A5" s="5" t="s">
        <v>192</v>
      </c>
      <c r="B5" s="8">
        <f>COUNTIFS(Data!E2:E61,"transformed",Data!M2:M61,1)/COUNTIFS(Data!E2:E61,"transformed")</f>
        <v>0.4</v>
      </c>
    </row>
    <row r="6" spans="1:4" ht="15" customHeight="1">
      <c r="A6" s="5" t="s">
        <v>193</v>
      </c>
      <c r="B6" s="8">
        <f>COUNTIFS(Data!E2:E61,"original",Data!F2:F61,"PASS")/COUNTIFS(Data!E2:E61,"original")</f>
        <v>1</v>
      </c>
    </row>
    <row r="7" spans="1:4" ht="15" customHeight="1">
      <c r="A7" s="5" t="s">
        <v>194</v>
      </c>
      <c r="B7" s="8">
        <f>COUNTIFS(Data!E2:E61,"transformed",Data!F2:F61,"PASS")/COUNTIFS(Data!E2:E61,"transformed")</f>
        <v>1</v>
      </c>
    </row>
    <row r="9" spans="1:4" ht="15" customHeight="1">
      <c r="A9" s="5" t="s">
        <v>195</v>
      </c>
      <c r="B9" s="5">
        <f>IFERROR(AVERAGEIFS(Data!K2:K61,Data!M2:M61,1),"n/a yet")</f>
        <v>77.44</v>
      </c>
    </row>
    <row r="10" spans="1:4" ht="15" customHeight="1">
      <c r="A10" s="5" t="s">
        <v>196</v>
      </c>
      <c r="B10" s="5">
        <f>IFERROR(AVERAGEIFS(Data!K2:K61,Data!M2:M61,0),"n/a yet")</f>
        <v>78.599999999999994</v>
      </c>
    </row>
    <row r="12" spans="1:4" ht="15" customHeight="1">
      <c r="A12" s="7" t="s">
        <v>197</v>
      </c>
    </row>
    <row r="13" spans="1:4" ht="15" customHeight="1">
      <c r="A13" s="9" t="s">
        <v>198</v>
      </c>
      <c r="B13" s="9" t="s">
        <v>43</v>
      </c>
      <c r="C13" s="9" t="s">
        <v>46</v>
      </c>
      <c r="D13" s="9" t="s">
        <v>47</v>
      </c>
    </row>
    <row r="14" spans="1:4" ht="15" customHeight="1">
      <c r="A14" s="10" t="s">
        <v>43</v>
      </c>
      <c r="B14" s="5">
        <f>COUNTIFS(Data!$E$2:$E$61,"original",Data!$D$2:$D$61,"Claude",Data!$L$2:$L$61,"Claude")</f>
        <v>2</v>
      </c>
      <c r="C14" s="5">
        <f>COUNTIFS(Data!$E$2:$E$61,"original",Data!$D$2:$D$61,"Claude",Data!$L$2:$L$61,"ChatGPT")</f>
        <v>8</v>
      </c>
      <c r="D14" s="5">
        <f>COUNTIFS(Data!$E$2:$E$61,"original",Data!$D$2:$D$61,"Claude",Data!$L$2:$L$61,"Gemini")</f>
        <v>0</v>
      </c>
    </row>
    <row r="15" spans="1:4" ht="15" customHeight="1">
      <c r="A15" s="10" t="s">
        <v>46</v>
      </c>
      <c r="B15" s="5">
        <f>COUNTIFS(Data!$E$2:$E$61,"original",Data!$D$2:$D$61,"ChatGPT",Data!$L$2:$L$61,"Claude")</f>
        <v>0</v>
      </c>
      <c r="C15" s="5">
        <f>COUNTIFS(Data!$E$2:$E$61,"original",Data!$D$2:$D$61,"ChatGPT",Data!$L$2:$L$61,"ChatGPT")</f>
        <v>10</v>
      </c>
      <c r="D15" s="5">
        <f>COUNTIFS(Data!$E$2:$E$61,"original",Data!$D$2:$D$61,"ChatGPT",Data!$L$2:$L$61,"Gemini")</f>
        <v>0</v>
      </c>
    </row>
    <row r="16" spans="1:4" ht="15" customHeight="1">
      <c r="A16" s="10" t="s">
        <v>47</v>
      </c>
      <c r="B16" s="5">
        <f>COUNTIFS(Data!$E$2:$E$61,"original",Data!$D$2:$D$61,"Gemini",Data!$L$2:$L$61,"Claude")</f>
        <v>1</v>
      </c>
      <c r="C16" s="5">
        <f>COUNTIFS(Data!$E$2:$E$61,"original",Data!$D$2:$D$61,"Gemini",Data!$L$2:$L$61,"ChatGPT")</f>
        <v>8</v>
      </c>
      <c r="D16" s="5">
        <f>COUNTIFS(Data!$E$2:$E$61,"original",Data!$D$2:$D$61,"Gemini",Data!$L$2:$L$61,"Gemini")</f>
        <v>1</v>
      </c>
    </row>
    <row r="18" spans="1:4" ht="15" customHeight="1">
      <c r="A18" s="7" t="s">
        <v>199</v>
      </c>
    </row>
    <row r="19" spans="1:4" ht="15" customHeight="1">
      <c r="A19" s="9" t="s">
        <v>198</v>
      </c>
      <c r="B19" s="9" t="s">
        <v>43</v>
      </c>
      <c r="C19" s="9" t="s">
        <v>46</v>
      </c>
      <c r="D19" s="9" t="s">
        <v>47</v>
      </c>
    </row>
    <row r="20" spans="1:4" ht="15" customHeight="1">
      <c r="A20" s="10" t="s">
        <v>43</v>
      </c>
      <c r="B20" s="5">
        <f>COUNTIFS(Data!$E$2:$E$61,"transformed",Data!$D$2:$D$61,"Claude",Data!$L$2:$L$61,"Claude")</f>
        <v>5</v>
      </c>
      <c r="C20" s="5">
        <f>COUNTIFS(Data!$E$2:$E$61,"transformed",Data!$D$2:$D$61,"Claude",Data!$L$2:$L$61,"ChatGPT")</f>
        <v>5</v>
      </c>
      <c r="D20" s="5">
        <f>COUNTIFS(Data!$E$2:$E$61,"transformed",Data!$D$2:$D$61,"Claude",Data!$L$2:$L$61,"Gemini")</f>
        <v>0</v>
      </c>
    </row>
    <row r="21" spans="1:4" ht="15" customHeight="1">
      <c r="A21" s="10" t="s">
        <v>46</v>
      </c>
      <c r="B21" s="5">
        <f>COUNTIFS(Data!$E$2:$E$61,"transformed",Data!$D$2:$D$61,"ChatGPT",Data!$L$2:$L$61,"Claude")</f>
        <v>1</v>
      </c>
      <c r="C21" s="5">
        <f>COUNTIFS(Data!$E$2:$E$61,"transformed",Data!$D$2:$D$61,"ChatGPT",Data!$L$2:$L$61,"ChatGPT")</f>
        <v>7</v>
      </c>
      <c r="D21" s="5">
        <f>COUNTIFS(Data!$E$2:$E$61,"transformed",Data!$D$2:$D$61,"ChatGPT",Data!$L$2:$L$61,"Gemini")</f>
        <v>2</v>
      </c>
    </row>
    <row r="22" spans="1:4" ht="15" customHeight="1">
      <c r="A22" s="10" t="s">
        <v>47</v>
      </c>
      <c r="B22" s="5">
        <f>COUNTIFS(Data!$E$2:$E$61,"transformed",Data!$D$2:$D$61,"Gemini",Data!$L$2:$L$61,"Claude")</f>
        <v>3</v>
      </c>
      <c r="C22" s="5">
        <f>COUNTIFS(Data!$E$2:$E$61,"transformed",Data!$D$2:$D$61,"Gemini",Data!$L$2:$L$61,"ChatGPT")</f>
        <v>7</v>
      </c>
      <c r="D22" s="5">
        <f>COUNTIFS(Data!$E$2:$E$61,"transformed",Data!$D$2:$D$61,"Gemini",Data!$L$2:$L$61,"Gemini")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2026-09-16T13:46:32Z</dcterms:created>
  <dcterms:modified xsi:type="dcterms:W3CDTF">2026-09-17T13:17:17Z</dcterms:modified>
  <cp:category/>
  <cp:contentStatus/>
</cp:coreProperties>
</file>